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ava\workspace_IntelliJ\KEMS\"/>
    </mc:Choice>
  </mc:AlternateContent>
  <xr:revisionPtr revIDLastSave="0" documentId="13_ncr:1_{97151496-DF39-4E48-944F-A9F4E2DD30FA}" xr6:coauthVersionLast="47" xr6:coauthVersionMax="47" xr10:uidLastSave="{00000000-0000-0000-0000-000000000000}"/>
  <bookViews>
    <workbookView xWindow="-28920" yWindow="-120" windowWidth="29040" windowHeight="15720" xr2:uid="{4F0C75E6-4949-419A-8A6B-B03F5A4E8617}"/>
  </bookViews>
  <sheets>
    <sheet name="Test 1" sheetId="1" r:id="rId1"/>
    <sheet name="Test 2" sheetId="2" r:id="rId2"/>
    <sheet name="Test 3" sheetId="3" r:id="rId3"/>
    <sheet name="Test 4" sheetId="4" r:id="rId4"/>
    <sheet name="Test 5" sheetId="5" r:id="rId5"/>
  </sheets>
  <definedNames>
    <definedName name="_xlnm._FilterDatabase" localSheetId="0" hidden="1">'Test 1'!$A$1:$M$131</definedName>
    <definedName name="_xlnm._FilterDatabase" localSheetId="1" hidden="1">'Test 2'!$A$1:$M$124</definedName>
    <definedName name="_xlnm._FilterDatabase" localSheetId="2" hidden="1">'Test 3'!$A$1:$O$82</definedName>
    <definedName name="_xlnm._FilterDatabase" localSheetId="3" hidden="1">'Test 4'!$A$1:$O$1</definedName>
    <definedName name="_xlnm._FilterDatabase" localSheetId="4" hidden="1">'Test 5'!$A$1:$O$197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O8" i="1" s="1"/>
  <c r="P8" i="1" s="1"/>
  <c r="Q8" i="1" s="1"/>
  <c r="N9" i="1"/>
  <c r="O9" i="1" s="1"/>
  <c r="P9" i="1" s="1"/>
  <c r="Q9" i="1" s="1"/>
  <c r="N10" i="1"/>
  <c r="O10" i="1" s="1"/>
  <c r="P10" i="1" s="1"/>
  <c r="Q10" i="1" s="1"/>
  <c r="N11" i="1"/>
  <c r="N12" i="1"/>
  <c r="N13" i="1"/>
  <c r="O13" i="1" s="1"/>
  <c r="P13" i="1" s="1"/>
  <c r="N14" i="1"/>
  <c r="O14" i="1" s="1"/>
  <c r="P14" i="1" s="1"/>
  <c r="Q14" i="1" s="1"/>
  <c r="R14" i="1" s="1"/>
  <c r="N15" i="1"/>
  <c r="N16" i="1"/>
  <c r="N17" i="1"/>
  <c r="N18" i="1"/>
  <c r="N19" i="1"/>
  <c r="N20" i="1"/>
  <c r="N21" i="1"/>
  <c r="N22" i="1"/>
  <c r="N23" i="1"/>
  <c r="O23" i="1" s="1"/>
  <c r="P23" i="1" s="1"/>
  <c r="Q23" i="1" s="1"/>
  <c r="R23" i="1" s="1"/>
  <c r="N24" i="1"/>
  <c r="O24" i="1" s="1"/>
  <c r="P24" i="1" s="1"/>
  <c r="Q24" i="1" s="1"/>
  <c r="R24" i="1" s="1"/>
  <c r="N25" i="1"/>
  <c r="O25" i="1" s="1"/>
  <c r="P25" i="1" s="1"/>
  <c r="Q25" i="1" s="1"/>
  <c r="R25" i="1" s="1"/>
  <c r="N26" i="1"/>
  <c r="O26" i="1" s="1"/>
  <c r="P26" i="1" s="1"/>
  <c r="Q26" i="1" s="1"/>
  <c r="R26" i="1" s="1"/>
  <c r="N27" i="1"/>
  <c r="N28" i="1"/>
  <c r="N29" i="1"/>
  <c r="N30" i="1"/>
  <c r="N31" i="1"/>
  <c r="N32" i="1"/>
  <c r="N33" i="1"/>
  <c r="N34" i="1"/>
  <c r="N35" i="1"/>
  <c r="O35" i="1" s="1"/>
  <c r="P35" i="1" s="1"/>
  <c r="Q35" i="1" s="1"/>
  <c r="R35" i="1" s="1"/>
  <c r="N36" i="1"/>
  <c r="O36" i="1" s="1"/>
  <c r="P36" i="1" s="1"/>
  <c r="Q36" i="1" s="1"/>
  <c r="R36" i="1" s="1"/>
  <c r="N37" i="1"/>
  <c r="O37" i="1" s="1"/>
  <c r="P37" i="1" s="1"/>
  <c r="Q37" i="1" s="1"/>
  <c r="R37" i="1" s="1"/>
  <c r="N38" i="1"/>
  <c r="O38" i="1" s="1"/>
  <c r="P38" i="1" s="1"/>
  <c r="Q38" i="1" s="1"/>
  <c r="R38" i="1" s="1"/>
  <c r="N39" i="1"/>
  <c r="N40" i="1"/>
  <c r="N41" i="1"/>
  <c r="N42" i="1"/>
  <c r="N43" i="1"/>
  <c r="N44" i="1"/>
  <c r="O44" i="1" s="1"/>
  <c r="P44" i="1" s="1"/>
  <c r="N45" i="1"/>
  <c r="O45" i="1" s="1"/>
  <c r="P45" i="1" s="1"/>
  <c r="N46" i="1"/>
  <c r="O46" i="1" s="1"/>
  <c r="P46" i="1" s="1"/>
  <c r="N47" i="1"/>
  <c r="O47" i="1" s="1"/>
  <c r="P47" i="1" s="1"/>
  <c r="N48" i="1"/>
  <c r="O48" i="1" s="1"/>
  <c r="P48" i="1" s="1"/>
  <c r="Q48" i="1" s="1"/>
  <c r="R48" i="1" s="1"/>
  <c r="N49" i="1"/>
  <c r="O49" i="1" s="1"/>
  <c r="P49" i="1" s="1"/>
  <c r="N50" i="1"/>
  <c r="O50" i="1" s="1"/>
  <c r="P50" i="1" s="1"/>
  <c r="Q50" i="1" s="1"/>
  <c r="R50" i="1" s="1"/>
  <c r="N51" i="1"/>
  <c r="N52" i="1"/>
  <c r="N53" i="1"/>
  <c r="N54" i="1"/>
  <c r="N55" i="1"/>
  <c r="N56" i="1"/>
  <c r="N57" i="1"/>
  <c r="O57" i="1" s="1"/>
  <c r="P57" i="1" s="1"/>
  <c r="N58" i="1"/>
  <c r="O58" i="1" s="1"/>
  <c r="P58" i="1" s="1"/>
  <c r="N59" i="1"/>
  <c r="O59" i="1" s="1"/>
  <c r="P59" i="1" s="1"/>
  <c r="N60" i="1"/>
  <c r="N61" i="1"/>
  <c r="O61" i="1" s="1"/>
  <c r="P61" i="1" s="1"/>
  <c r="Q61" i="1" s="1"/>
  <c r="R61" i="1" s="1"/>
  <c r="N62" i="1"/>
  <c r="O62" i="1" s="1"/>
  <c r="P62" i="1" s="1"/>
  <c r="Q62" i="1" s="1"/>
  <c r="R62" i="1" s="1"/>
  <c r="N63" i="1"/>
  <c r="N64" i="1"/>
  <c r="N65" i="1"/>
  <c r="N66" i="1"/>
  <c r="N67" i="1"/>
  <c r="N68" i="1"/>
  <c r="N69" i="1"/>
  <c r="O69" i="1" s="1"/>
  <c r="P69" i="1" s="1"/>
  <c r="N70" i="1"/>
  <c r="O70" i="1" s="1"/>
  <c r="P70" i="1" s="1"/>
  <c r="N71" i="1"/>
  <c r="O71" i="1" s="1"/>
  <c r="P71" i="1" s="1"/>
  <c r="Q71" i="1" s="1"/>
  <c r="R71" i="1" s="1"/>
  <c r="N72" i="1"/>
  <c r="N73" i="1"/>
  <c r="O73" i="1" s="1"/>
  <c r="P73" i="1" s="1"/>
  <c r="Q73" i="1" s="1"/>
  <c r="R73" i="1" s="1"/>
  <c r="N74" i="1"/>
  <c r="O74" i="1" s="1"/>
  <c r="P74" i="1" s="1"/>
  <c r="Q74" i="1" s="1"/>
  <c r="R74" i="1" s="1"/>
  <c r="N75" i="1"/>
  <c r="N76" i="1"/>
  <c r="N77" i="1"/>
  <c r="N78" i="1"/>
  <c r="N79" i="1"/>
  <c r="N80" i="1"/>
  <c r="N81" i="1"/>
  <c r="N82" i="1"/>
  <c r="N83" i="1"/>
  <c r="O83" i="1" s="1"/>
  <c r="P83" i="1" s="1"/>
  <c r="Q83" i="1" s="1"/>
  <c r="R83" i="1" s="1"/>
  <c r="N84" i="1"/>
  <c r="O84" i="1" s="1"/>
  <c r="P84" i="1" s="1"/>
  <c r="Q84" i="1" s="1"/>
  <c r="R84" i="1" s="1"/>
  <c r="N85" i="1"/>
  <c r="O85" i="1" s="1"/>
  <c r="P85" i="1" s="1"/>
  <c r="Q85" i="1" s="1"/>
  <c r="R85" i="1" s="1"/>
  <c r="N86" i="1"/>
  <c r="O86" i="1" s="1"/>
  <c r="P86" i="1" s="1"/>
  <c r="Q86" i="1" s="1"/>
  <c r="R86" i="1" s="1"/>
  <c r="N87" i="1"/>
  <c r="N88" i="1"/>
  <c r="N89" i="1"/>
  <c r="N90" i="1"/>
  <c r="N91" i="1"/>
  <c r="N92" i="1"/>
  <c r="N93" i="1"/>
  <c r="N94" i="1"/>
  <c r="N95" i="1"/>
  <c r="N96" i="1"/>
  <c r="O96" i="1" s="1"/>
  <c r="P96" i="1" s="1"/>
  <c r="Q96" i="1" s="1"/>
  <c r="R96" i="1" s="1"/>
  <c r="N97" i="1"/>
  <c r="O97" i="1" s="1"/>
  <c r="P97" i="1" s="1"/>
  <c r="Q97" i="1" s="1"/>
  <c r="R97" i="1" s="1"/>
  <c r="N98" i="1"/>
  <c r="O98" i="1" s="1"/>
  <c r="P98" i="1" s="1"/>
  <c r="Q98" i="1" s="1"/>
  <c r="R98" i="1" s="1"/>
  <c r="N99" i="1"/>
  <c r="N100" i="1"/>
  <c r="N101" i="1"/>
  <c r="N102" i="1"/>
  <c r="N103" i="1"/>
  <c r="N104" i="1"/>
  <c r="N105" i="1"/>
  <c r="N106" i="1"/>
  <c r="O106" i="1" s="1"/>
  <c r="P106" i="1" s="1"/>
  <c r="N107" i="1"/>
  <c r="O107" i="1" s="1"/>
  <c r="P107" i="1" s="1"/>
  <c r="Q107" i="1" s="1"/>
  <c r="R107" i="1" s="1"/>
  <c r="N108" i="1"/>
  <c r="O108" i="1" s="1"/>
  <c r="P108" i="1" s="1"/>
  <c r="Q108" i="1" s="1"/>
  <c r="R108" i="1" s="1"/>
  <c r="N109" i="1"/>
  <c r="O109" i="1" s="1"/>
  <c r="P109" i="1" s="1"/>
  <c r="Q109" i="1" s="1"/>
  <c r="R109" i="1" s="1"/>
  <c r="N110" i="1"/>
  <c r="O110" i="1" s="1"/>
  <c r="P110" i="1" s="1"/>
  <c r="Q110" i="1" s="1"/>
  <c r="R110" i="1" s="1"/>
  <c r="N111" i="1"/>
  <c r="N112" i="1"/>
  <c r="N113" i="1"/>
  <c r="N114" i="1"/>
  <c r="N115" i="1"/>
  <c r="N116" i="1"/>
  <c r="N117" i="1"/>
  <c r="N118" i="1"/>
  <c r="O118" i="1" s="1"/>
  <c r="P118" i="1" s="1"/>
  <c r="Q118" i="1" s="1"/>
  <c r="R118" i="1" s="1"/>
  <c r="N119" i="1"/>
  <c r="N120" i="1"/>
  <c r="N121" i="1"/>
  <c r="N122" i="1"/>
  <c r="O122" i="1" s="1"/>
  <c r="P122" i="1" s="1"/>
  <c r="Q122" i="1" s="1"/>
  <c r="R122" i="1" s="1"/>
  <c r="N123" i="1"/>
  <c r="N124" i="1"/>
  <c r="N125" i="1"/>
  <c r="N126" i="1"/>
  <c r="N127" i="1"/>
  <c r="N128" i="1"/>
  <c r="O128" i="1" s="1"/>
  <c r="P128" i="1" s="1"/>
  <c r="N129" i="1"/>
  <c r="O129" i="1" s="1"/>
  <c r="P129" i="1" s="1"/>
  <c r="N130" i="1"/>
  <c r="O130" i="1" s="1"/>
  <c r="P130" i="1" s="1"/>
  <c r="N131" i="1"/>
  <c r="O131" i="1" s="1"/>
  <c r="P131" i="1" s="1"/>
  <c r="Q131" i="1" s="1"/>
  <c r="R131" i="1" s="1"/>
  <c r="N2" i="1"/>
  <c r="O11" i="1"/>
  <c r="P11" i="1" s="1"/>
  <c r="Q11" i="1" s="1"/>
  <c r="O12" i="1"/>
  <c r="P12" i="1" s="1"/>
  <c r="Q12" i="1" s="1"/>
  <c r="R12" i="1" s="1"/>
  <c r="O60" i="1"/>
  <c r="P60" i="1" s="1"/>
  <c r="O72" i="1"/>
  <c r="P72" i="1" s="1"/>
  <c r="Q72" i="1" s="1"/>
  <c r="R72" i="1" s="1"/>
  <c r="O119" i="1"/>
  <c r="P119" i="1" s="1"/>
  <c r="Q119" i="1" s="1"/>
  <c r="R119" i="1" s="1"/>
  <c r="O121" i="1"/>
  <c r="P121" i="1" s="1"/>
  <c r="Q121" i="1" s="1"/>
  <c r="R121" i="1" s="1"/>
  <c r="O19" i="1"/>
  <c r="P19" i="1" s="1"/>
  <c r="Q19" i="1" s="1"/>
  <c r="R19" i="1" s="1"/>
  <c r="O20" i="1"/>
  <c r="P20" i="1" s="1"/>
  <c r="Q20" i="1" s="1"/>
  <c r="R20" i="1" s="1"/>
  <c r="O21" i="1"/>
  <c r="P21" i="1" s="1"/>
  <c r="Q21" i="1" s="1"/>
  <c r="R21" i="1" s="1"/>
  <c r="O22" i="1"/>
  <c r="P22" i="1" s="1"/>
  <c r="O31" i="1"/>
  <c r="P31" i="1" s="1"/>
  <c r="Q31" i="1" s="1"/>
  <c r="O34" i="1"/>
  <c r="P34" i="1" s="1"/>
  <c r="Q34" i="1" s="1"/>
  <c r="O43" i="1"/>
  <c r="P43" i="1" s="1"/>
  <c r="O67" i="1"/>
  <c r="P67" i="1" s="1"/>
  <c r="Q67" i="1" s="1"/>
  <c r="R67" i="1" s="1"/>
  <c r="O79" i="1"/>
  <c r="P79" i="1" s="1"/>
  <c r="O80" i="1"/>
  <c r="P80" i="1" s="1"/>
  <c r="Q80" i="1" s="1"/>
  <c r="O81" i="1"/>
  <c r="P81" i="1" s="1"/>
  <c r="O82" i="1"/>
  <c r="P82" i="1" s="1"/>
  <c r="Q82" i="1" s="1"/>
  <c r="O93" i="1"/>
  <c r="P93" i="1" s="1"/>
  <c r="Q93" i="1" s="1"/>
  <c r="O95" i="1"/>
  <c r="P95" i="1" s="1"/>
  <c r="Q95" i="1" s="1"/>
  <c r="R95" i="1" s="1"/>
  <c r="O115" i="1"/>
  <c r="P115" i="1" s="1"/>
  <c r="Q115" i="1" s="1"/>
  <c r="R115" i="1" s="1"/>
  <c r="O39" i="1"/>
  <c r="P39" i="1" s="1"/>
  <c r="Q39" i="1" s="1"/>
  <c r="R39" i="1" s="1"/>
  <c r="O40" i="1"/>
  <c r="P40" i="1" s="1"/>
  <c r="Q40" i="1" s="1"/>
  <c r="R40" i="1" s="1"/>
  <c r="O41" i="1"/>
  <c r="P41" i="1" s="1"/>
  <c r="Q41" i="1" s="1"/>
  <c r="R41" i="1" s="1"/>
  <c r="O51" i="1"/>
  <c r="P51" i="1" s="1"/>
  <c r="Q51" i="1" s="1"/>
  <c r="R51" i="1" s="1"/>
  <c r="O56" i="1"/>
  <c r="P56" i="1" s="1"/>
  <c r="O76" i="1"/>
  <c r="P76" i="1" s="1"/>
  <c r="O77" i="1"/>
  <c r="P77" i="1" s="1"/>
  <c r="Q77" i="1" s="1"/>
  <c r="O87" i="1"/>
  <c r="P87" i="1" s="1"/>
  <c r="O88" i="1"/>
  <c r="P88" i="1" s="1"/>
  <c r="O89" i="1"/>
  <c r="P89" i="1" s="1"/>
  <c r="Q89" i="1" s="1"/>
  <c r="O92" i="1"/>
  <c r="P92" i="1" s="1"/>
  <c r="Q92" i="1" s="1"/>
  <c r="O94" i="1"/>
  <c r="P94" i="1" s="1"/>
  <c r="O100" i="1"/>
  <c r="P100" i="1" s="1"/>
  <c r="Q100" i="1" s="1"/>
  <c r="R100" i="1" s="1"/>
  <c r="O101" i="1"/>
  <c r="P101" i="1" s="1"/>
  <c r="Q101" i="1" s="1"/>
  <c r="O113" i="1"/>
  <c r="P113" i="1" s="1"/>
  <c r="Q113" i="1" s="1"/>
  <c r="O105" i="1"/>
  <c r="P105" i="1" s="1"/>
  <c r="O116" i="1"/>
  <c r="P116" i="1" s="1"/>
  <c r="O117" i="1"/>
  <c r="P117" i="1" s="1"/>
  <c r="O120" i="1"/>
  <c r="P120" i="1" s="1"/>
  <c r="Q120" i="1" s="1"/>
  <c r="R120" i="1" s="1"/>
  <c r="O2" i="1"/>
  <c r="P2" i="1" s="1"/>
  <c r="Q3" i="1"/>
  <c r="R3" i="1" s="1"/>
  <c r="O15" i="1"/>
  <c r="P15" i="1" s="1"/>
  <c r="Q15" i="1" s="1"/>
  <c r="O27" i="1"/>
  <c r="P27" i="1" s="1"/>
  <c r="Q27" i="1" s="1"/>
  <c r="O75" i="1"/>
  <c r="P75" i="1" s="1"/>
  <c r="O99" i="1"/>
  <c r="P99" i="1" s="1"/>
  <c r="Q99" i="1" s="1"/>
  <c r="O123" i="1"/>
  <c r="P123" i="1" s="1"/>
  <c r="Q123" i="1" s="1"/>
  <c r="R123" i="1" s="1"/>
  <c r="O32" i="1"/>
  <c r="P32" i="1" s="1"/>
  <c r="Q32" i="1" s="1"/>
  <c r="O33" i="1"/>
  <c r="P33" i="1" s="1"/>
  <c r="O68" i="1"/>
  <c r="P68" i="1" s="1"/>
  <c r="Q68" i="1" s="1"/>
  <c r="R68" i="1" s="1"/>
  <c r="O3" i="1"/>
  <c r="P3" i="1" s="1"/>
  <c r="O4" i="1"/>
  <c r="P4" i="1" s="1"/>
  <c r="Q4" i="1" s="1"/>
  <c r="R4" i="1" s="1"/>
  <c r="O5" i="1"/>
  <c r="P5" i="1" s="1"/>
  <c r="Q5" i="1" s="1"/>
  <c r="R5" i="1" s="1"/>
  <c r="O6" i="1"/>
  <c r="P6" i="1" s="1"/>
  <c r="Q6" i="1" s="1"/>
  <c r="R6" i="1" s="1"/>
  <c r="O7" i="1"/>
  <c r="P7" i="1" s="1"/>
  <c r="O16" i="1"/>
  <c r="P16" i="1" s="1"/>
  <c r="Q16" i="1" s="1"/>
  <c r="O17" i="1"/>
  <c r="P17" i="1" s="1"/>
  <c r="Q17" i="1" s="1"/>
  <c r="O18" i="1"/>
  <c r="P18" i="1" s="1"/>
  <c r="O28" i="1"/>
  <c r="P28" i="1" s="1"/>
  <c r="Q28" i="1" s="1"/>
  <c r="O29" i="1"/>
  <c r="P29" i="1" s="1"/>
  <c r="Q29" i="1" s="1"/>
  <c r="O30" i="1"/>
  <c r="P30" i="1" s="1"/>
  <c r="Q30" i="1" s="1"/>
  <c r="O42" i="1"/>
  <c r="P42" i="1" s="1"/>
  <c r="O52" i="1"/>
  <c r="P52" i="1" s="1"/>
  <c r="Q52" i="1" s="1"/>
  <c r="O53" i="1"/>
  <c r="P53" i="1" s="1"/>
  <c r="O54" i="1"/>
  <c r="P54" i="1" s="1"/>
  <c r="Q54" i="1" s="1"/>
  <c r="O55" i="1"/>
  <c r="P55" i="1" s="1"/>
  <c r="Q55" i="1" s="1"/>
  <c r="O63" i="1"/>
  <c r="P63" i="1" s="1"/>
  <c r="Q63" i="1" s="1"/>
  <c r="R63" i="1" s="1"/>
  <c r="O64" i="1"/>
  <c r="P64" i="1" s="1"/>
  <c r="Q64" i="1" s="1"/>
  <c r="R64" i="1" s="1"/>
  <c r="O65" i="1"/>
  <c r="P65" i="1" s="1"/>
  <c r="Q65" i="1" s="1"/>
  <c r="R65" i="1" s="1"/>
  <c r="O66" i="1"/>
  <c r="P66" i="1" s="1"/>
  <c r="Q66" i="1" s="1"/>
  <c r="R66" i="1" s="1"/>
  <c r="O78" i="1"/>
  <c r="P78" i="1" s="1"/>
  <c r="Q78" i="1" s="1"/>
  <c r="O90" i="1"/>
  <c r="P90" i="1" s="1"/>
  <c r="Q90" i="1" s="1"/>
  <c r="O91" i="1"/>
  <c r="P91" i="1" s="1"/>
  <c r="Q91" i="1" s="1"/>
  <c r="O102" i="1"/>
  <c r="P102" i="1" s="1"/>
  <c r="Q102" i="1" s="1"/>
  <c r="R102" i="1" s="1"/>
  <c r="O103" i="1"/>
  <c r="P103" i="1" s="1"/>
  <c r="Q103" i="1" s="1"/>
  <c r="R103" i="1" s="1"/>
  <c r="O104" i="1"/>
  <c r="P104" i="1" s="1"/>
  <c r="Q104" i="1" s="1"/>
  <c r="R104" i="1" s="1"/>
  <c r="O111" i="1"/>
  <c r="P111" i="1" s="1"/>
  <c r="Q111" i="1" s="1"/>
  <c r="O112" i="1"/>
  <c r="P112" i="1" s="1"/>
  <c r="O114" i="1"/>
  <c r="P114" i="1" s="1"/>
  <c r="Q114" i="1" s="1"/>
  <c r="R114" i="1" s="1"/>
  <c r="O124" i="1"/>
  <c r="P124" i="1" s="1"/>
  <c r="Q124" i="1" s="1"/>
  <c r="R124" i="1" s="1"/>
  <c r="O125" i="1"/>
  <c r="P125" i="1" s="1"/>
  <c r="O126" i="1"/>
  <c r="P126" i="1" s="1"/>
  <c r="Q126" i="1" s="1"/>
  <c r="R126" i="1" s="1"/>
  <c r="O127" i="1"/>
  <c r="P127" i="1" s="1"/>
  <c r="R27" i="1" l="1"/>
  <c r="R28" i="1"/>
  <c r="R16" i="1"/>
  <c r="R15" i="1"/>
  <c r="Q88" i="1"/>
  <c r="R88" i="1"/>
  <c r="Q87" i="1"/>
  <c r="R87" i="1" s="1"/>
  <c r="Q76" i="1"/>
  <c r="R76" i="1" s="1"/>
  <c r="R99" i="1"/>
  <c r="R52" i="1"/>
  <c r="Q18" i="1"/>
  <c r="R18" i="1" s="1"/>
  <c r="Q53" i="1"/>
  <c r="R53" i="1" s="1"/>
  <c r="Q22" i="1"/>
  <c r="R22" i="1" s="1"/>
  <c r="Q45" i="1"/>
  <c r="R45" i="1" s="1"/>
  <c r="Q44" i="1"/>
  <c r="R44" i="1" s="1"/>
  <c r="Q60" i="1"/>
  <c r="R60" i="1" s="1"/>
  <c r="Q46" i="1"/>
  <c r="R46" i="1"/>
  <c r="Q117" i="1"/>
  <c r="R117" i="1" s="1"/>
  <c r="Q116" i="1"/>
  <c r="R116" i="1"/>
  <c r="R127" i="1"/>
  <c r="Q47" i="1"/>
  <c r="R47" i="1" s="1"/>
  <c r="Q70" i="1"/>
  <c r="R70" i="1" s="1"/>
  <c r="Q81" i="1"/>
  <c r="R81" i="1" s="1"/>
  <c r="Q49" i="1"/>
  <c r="R49" i="1"/>
  <c r="Q130" i="1"/>
  <c r="R130" i="1" s="1"/>
  <c r="Q58" i="1"/>
  <c r="R58" i="1" s="1"/>
  <c r="Q13" i="1"/>
  <c r="R13" i="1" s="1"/>
  <c r="Q59" i="1"/>
  <c r="R59" i="1"/>
  <c r="Q94" i="1"/>
  <c r="R94" i="1" s="1"/>
  <c r="R7" i="1"/>
  <c r="Q129" i="1"/>
  <c r="R129" i="1" s="1"/>
  <c r="Q105" i="1"/>
  <c r="R105" i="1" s="1"/>
  <c r="Q56" i="1"/>
  <c r="R56" i="1" s="1"/>
  <c r="Q125" i="1"/>
  <c r="R125" i="1" s="1"/>
  <c r="Q112" i="1"/>
  <c r="R112" i="1" s="1"/>
  <c r="R54" i="1"/>
  <c r="R82" i="1"/>
  <c r="R101" i="1"/>
  <c r="R80" i="1"/>
  <c r="Q106" i="1"/>
  <c r="R106" i="1" s="1"/>
  <c r="R32" i="1"/>
  <c r="R55" i="1"/>
  <c r="R113" i="1"/>
  <c r="R93" i="1"/>
  <c r="R77" i="1"/>
  <c r="Q69" i="1"/>
  <c r="R69" i="1" s="1"/>
  <c r="Q57" i="1"/>
  <c r="R57" i="1" s="1"/>
  <c r="Q33" i="1"/>
  <c r="R33" i="1" s="1"/>
  <c r="Q75" i="1"/>
  <c r="R75" i="1" s="1"/>
  <c r="R34" i="1"/>
  <c r="R31" i="1"/>
  <c r="R92" i="1"/>
  <c r="Q128" i="1"/>
  <c r="R128" i="1" s="1"/>
  <c r="R30" i="1"/>
  <c r="R111" i="1"/>
  <c r="R91" i="1"/>
  <c r="Q127" i="1"/>
  <c r="Q79" i="1"/>
  <c r="R79" i="1" s="1"/>
  <c r="Q43" i="1"/>
  <c r="R43" i="1" s="1"/>
  <c r="Q7" i="1"/>
  <c r="R78" i="1"/>
  <c r="R29" i="1"/>
  <c r="R90" i="1"/>
  <c r="Q42" i="1"/>
  <c r="R42" i="1" s="1"/>
  <c r="R17" i="1"/>
  <c r="R89" i="1"/>
  <c r="Q2" i="1"/>
  <c r="R2" i="1" s="1"/>
</calcChain>
</file>

<file path=xl/sharedStrings.xml><?xml version="1.0" encoding="utf-8"?>
<sst xmlns="http://schemas.openxmlformats.org/spreadsheetml/2006/main" count="552" uniqueCount="22">
  <si>
    <t>MobStep</t>
  </si>
  <si>
    <t>MobKillCount</t>
  </si>
  <si>
    <t>totalPlayerKill</t>
  </si>
  <si>
    <t>MobBasePoints</t>
  </si>
  <si>
    <t>PointGoal</t>
  </si>
  <si>
    <t>totalPointCoefMax</t>
  </si>
  <si>
    <t>TotalPointCoef</t>
  </si>
  <si>
    <t>MaxMobAmount</t>
  </si>
  <si>
    <t>mobTypeCoef</t>
  </si>
  <si>
    <t>totalCoef</t>
  </si>
  <si>
    <t>mobMaxPoints</t>
  </si>
  <si>
    <t>mobPointsToRetrieve</t>
  </si>
  <si>
    <t>RetMobPoints</t>
  </si>
  <si>
    <t>MobTypeCoef</t>
  </si>
  <si>
    <t>TotalCoef</t>
  </si>
  <si>
    <t>MobMaxPoints</t>
  </si>
  <si>
    <t>PointsToRetrieve</t>
  </si>
  <si>
    <t>RetMobPoint</t>
  </si>
  <si>
    <t xml:space="preserve"> KosmosUniverse</t>
  </si>
  <si>
    <t>playerPoints</t>
  </si>
  <si>
    <t>Player</t>
  </si>
  <si>
    <t xml:space="preserve"> SpeedySwat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</si>
</sst>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442BC-5012-4D5E-8B1C-8176FB76B88E}">
  <dimension ref="A1:S131"/>
  <sheetViews>
    <sheetView tabSelected="1" topLeftCell="E1" workbookViewId="0">
      <pane ySplit="1" topLeftCell="A2" activePane="bottomLeft" state="frozen"/>
      <selection pane="bottomLeft" activeCell="J23" sqref="J23"/>
    </sheetView>
  </sheetViews>
  <sheetFormatPr baseColWidth="10" defaultRowHeight="15" x14ac:dyDescent="0.25"/>
  <cols>
    <col min="1" max="1" width="10.85546875" bestFit="1" customWidth="1"/>
    <col min="2" max="2" width="15.140625" bestFit="1" customWidth="1"/>
    <col min="3" max="3" width="15.5703125" bestFit="1" customWidth="1"/>
    <col min="4" max="4" width="17" bestFit="1" customWidth="1"/>
    <col min="5" max="5" width="12" bestFit="1" customWidth="1"/>
    <col min="6" max="6" width="19.42578125" bestFit="1" customWidth="1"/>
    <col min="7" max="7" width="16.140625" bestFit="1" customWidth="1"/>
    <col min="8" max="8" width="17.5703125" bestFit="1" customWidth="1"/>
    <col min="9" max="9" width="15.140625" bestFit="1" customWidth="1"/>
    <col min="10" max="10" width="12" bestFit="1" customWidth="1"/>
    <col min="11" max="11" width="16.42578125" bestFit="1" customWidth="1"/>
    <col min="12" max="12" width="22" bestFit="1" customWidth="1"/>
    <col min="13" max="13" width="15.42578125" bestFit="1" customWidth="1"/>
    <col min="14" max="14" width="15.42578125" customWidth="1"/>
    <col min="16" max="16" width="14" bestFit="1" customWidth="1"/>
    <col min="17" max="17" width="15.5703125" bestFit="1" customWidth="1"/>
    <col min="18" max="18" width="12.140625" bestFit="1" customWidth="1"/>
    <col min="19" max="19" width="17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</v>
      </c>
    </row>
    <row r="2" spans="1:19" x14ac:dyDescent="0.25">
      <c r="A2">
        <v>1</v>
      </c>
      <c r="B2">
        <v>1</v>
      </c>
      <c r="C2">
        <v>1</v>
      </c>
      <c r="D2">
        <v>2</v>
      </c>
      <c r="E2">
        <v>5000</v>
      </c>
      <c r="F2">
        <v>12.5</v>
      </c>
      <c r="G2">
        <v>5</v>
      </c>
      <c r="H2">
        <v>78</v>
      </c>
      <c r="I2">
        <v>0.32051282051281998</v>
      </c>
      <c r="J2">
        <v>6.4102564102564097</v>
      </c>
      <c r="K2">
        <v>2.1282051282051202</v>
      </c>
      <c r="L2">
        <v>1.7282051282051201</v>
      </c>
      <c r="M2">
        <v>0</v>
      </c>
      <c r="N2">
        <f xml:space="preserve"> 100 * A2 / H2</f>
        <v>1.2820512820512822</v>
      </c>
      <c r="O2">
        <f t="shared" ref="O2:O33" si="0">(F2 + N2) / 2</f>
        <v>6.8910256410256414</v>
      </c>
      <c r="P2">
        <f t="shared" ref="P2:P33" si="1">D2 + ((D2 * O2) / 100)</f>
        <v>2.1378205128205128</v>
      </c>
      <c r="Q2">
        <f>((P2-D2) / G2) * (B2 - 1)</f>
        <v>0</v>
      </c>
      <c r="R2">
        <f>P2 - Q2</f>
        <v>2.1378205128205128</v>
      </c>
      <c r="S2">
        <v>2</v>
      </c>
    </row>
    <row r="3" spans="1:19" x14ac:dyDescent="0.25">
      <c r="A3">
        <v>1</v>
      </c>
      <c r="B3">
        <v>2</v>
      </c>
      <c r="C3">
        <v>2</v>
      </c>
      <c r="D3">
        <v>2</v>
      </c>
      <c r="E3">
        <v>5000</v>
      </c>
      <c r="F3">
        <v>12.5</v>
      </c>
      <c r="G3">
        <v>5</v>
      </c>
      <c r="H3">
        <v>78</v>
      </c>
      <c r="I3">
        <v>0.32051282051281998</v>
      </c>
      <c r="J3">
        <v>6.4102564102564097</v>
      </c>
      <c r="K3">
        <v>2.1282051282051202</v>
      </c>
      <c r="L3">
        <v>3.4564102564102499</v>
      </c>
      <c r="M3">
        <v>-1</v>
      </c>
      <c r="N3">
        <f t="shared" ref="N3:N66" si="2" xml:space="preserve"> 100 * A3 / H3</f>
        <v>1.2820512820512822</v>
      </c>
      <c r="O3">
        <f t="shared" si="0"/>
        <v>6.8910256410256414</v>
      </c>
      <c r="P3">
        <f t="shared" si="1"/>
        <v>2.1378205128205128</v>
      </c>
      <c r="Q3">
        <f t="shared" ref="Q3:Q66" si="3">((P3-D3) / G3) * (B3 - 1)</f>
        <v>2.7564102564102556E-2</v>
      </c>
      <c r="R3">
        <f t="shared" ref="R3:R66" si="4">P3 - Q3</f>
        <v>2.1102564102564103</v>
      </c>
      <c r="S3">
        <v>2</v>
      </c>
    </row>
    <row r="4" spans="1:19" x14ac:dyDescent="0.25">
      <c r="A4">
        <v>1</v>
      </c>
      <c r="B4">
        <v>3</v>
      </c>
      <c r="C4">
        <v>3</v>
      </c>
      <c r="D4">
        <v>2</v>
      </c>
      <c r="E4">
        <v>5000</v>
      </c>
      <c r="F4">
        <v>12.5</v>
      </c>
      <c r="G4">
        <v>5</v>
      </c>
      <c r="H4">
        <v>78</v>
      </c>
      <c r="I4">
        <v>0.32051282051281998</v>
      </c>
      <c r="J4">
        <v>6.4102564102564097</v>
      </c>
      <c r="K4">
        <v>2.1282051282051202</v>
      </c>
      <c r="L4">
        <v>5.1846153846153804</v>
      </c>
      <c r="M4">
        <v>-3</v>
      </c>
      <c r="N4">
        <f t="shared" si="2"/>
        <v>1.2820512820512822</v>
      </c>
      <c r="O4">
        <f t="shared" si="0"/>
        <v>6.8910256410256414</v>
      </c>
      <c r="P4">
        <f t="shared" si="1"/>
        <v>2.1378205128205128</v>
      </c>
      <c r="Q4">
        <f t="shared" si="3"/>
        <v>5.5128205128205113E-2</v>
      </c>
      <c r="R4">
        <f t="shared" si="4"/>
        <v>2.0826923076923078</v>
      </c>
      <c r="S4">
        <v>2</v>
      </c>
    </row>
    <row r="5" spans="1:19" x14ac:dyDescent="0.25">
      <c r="A5">
        <v>1</v>
      </c>
      <c r="B5">
        <v>4</v>
      </c>
      <c r="C5">
        <v>8</v>
      </c>
      <c r="D5">
        <v>2</v>
      </c>
      <c r="E5">
        <v>5000</v>
      </c>
      <c r="F5">
        <v>12.5</v>
      </c>
      <c r="G5">
        <v>5</v>
      </c>
      <c r="H5">
        <v>78</v>
      </c>
      <c r="I5">
        <v>0.32051282051281998</v>
      </c>
      <c r="J5">
        <v>6.4102564102564097</v>
      </c>
      <c r="K5">
        <v>2.1282051282051202</v>
      </c>
      <c r="L5">
        <v>6.9128205128205096</v>
      </c>
      <c r="M5">
        <v>-4</v>
      </c>
      <c r="N5">
        <f t="shared" si="2"/>
        <v>1.2820512820512822</v>
      </c>
      <c r="O5">
        <f t="shared" si="0"/>
        <v>6.8910256410256414</v>
      </c>
      <c r="P5">
        <f t="shared" si="1"/>
        <v>2.1378205128205128</v>
      </c>
      <c r="Q5">
        <f t="shared" si="3"/>
        <v>8.2692307692307676E-2</v>
      </c>
      <c r="R5">
        <f t="shared" si="4"/>
        <v>2.0551282051282049</v>
      </c>
      <c r="S5">
        <v>2</v>
      </c>
    </row>
    <row r="6" spans="1:19" x14ac:dyDescent="0.25">
      <c r="A6">
        <v>1</v>
      </c>
      <c r="B6">
        <v>5</v>
      </c>
      <c r="C6">
        <v>9</v>
      </c>
      <c r="D6">
        <v>2</v>
      </c>
      <c r="E6">
        <v>5000</v>
      </c>
      <c r="F6">
        <v>12.5</v>
      </c>
      <c r="G6">
        <v>5</v>
      </c>
      <c r="H6">
        <v>78</v>
      </c>
      <c r="I6">
        <v>0.32051282051281998</v>
      </c>
      <c r="J6">
        <v>6.4102564102564097</v>
      </c>
      <c r="K6">
        <v>2.1282051282051202</v>
      </c>
      <c r="L6">
        <v>8.6410256410256405</v>
      </c>
      <c r="M6">
        <v>-6</v>
      </c>
      <c r="N6">
        <f t="shared" si="2"/>
        <v>1.2820512820512822</v>
      </c>
      <c r="O6">
        <f t="shared" si="0"/>
        <v>6.8910256410256414</v>
      </c>
      <c r="P6">
        <f t="shared" si="1"/>
        <v>2.1378205128205128</v>
      </c>
      <c r="Q6">
        <f t="shared" si="3"/>
        <v>0.11025641025641023</v>
      </c>
      <c r="R6">
        <f t="shared" si="4"/>
        <v>2.0275641025641025</v>
      </c>
      <c r="S6">
        <v>2</v>
      </c>
    </row>
    <row r="7" spans="1:19" x14ac:dyDescent="0.25">
      <c r="A7">
        <v>1</v>
      </c>
      <c r="B7">
        <v>6</v>
      </c>
      <c r="C7">
        <v>10</v>
      </c>
      <c r="D7">
        <v>2</v>
      </c>
      <c r="E7">
        <v>5000</v>
      </c>
      <c r="F7">
        <v>12.5</v>
      </c>
      <c r="G7">
        <v>5</v>
      </c>
      <c r="H7">
        <v>78</v>
      </c>
      <c r="I7">
        <v>0.32051282051281998</v>
      </c>
      <c r="J7">
        <v>6.4102564102564097</v>
      </c>
      <c r="K7">
        <v>2.1282051282051202</v>
      </c>
      <c r="L7">
        <v>10.3692307692307</v>
      </c>
      <c r="M7">
        <v>2</v>
      </c>
      <c r="N7">
        <f t="shared" si="2"/>
        <v>1.2820512820512822</v>
      </c>
      <c r="O7">
        <f t="shared" si="0"/>
        <v>6.8910256410256414</v>
      </c>
      <c r="P7">
        <f t="shared" si="1"/>
        <v>2.1378205128205128</v>
      </c>
      <c r="Q7">
        <f t="shared" si="3"/>
        <v>0.13782051282051277</v>
      </c>
      <c r="R7">
        <f t="shared" si="4"/>
        <v>2</v>
      </c>
      <c r="S7">
        <v>2</v>
      </c>
    </row>
    <row r="8" spans="1:19" x14ac:dyDescent="0.25">
      <c r="A8">
        <v>1</v>
      </c>
      <c r="B8">
        <v>7</v>
      </c>
      <c r="C8">
        <v>11</v>
      </c>
      <c r="D8">
        <v>2</v>
      </c>
      <c r="E8">
        <v>5000</v>
      </c>
      <c r="F8">
        <v>12.5</v>
      </c>
      <c r="G8">
        <v>5</v>
      </c>
      <c r="H8">
        <v>78</v>
      </c>
      <c r="I8">
        <v>0.32051282051281998</v>
      </c>
      <c r="J8">
        <v>6.4102564102564097</v>
      </c>
      <c r="K8">
        <v>2.1282051282051202</v>
      </c>
      <c r="L8">
        <v>12.097435897435799</v>
      </c>
      <c r="M8">
        <v>2</v>
      </c>
      <c r="N8">
        <f t="shared" si="2"/>
        <v>1.2820512820512822</v>
      </c>
      <c r="O8">
        <f t="shared" si="0"/>
        <v>6.8910256410256414</v>
      </c>
      <c r="P8">
        <f t="shared" si="1"/>
        <v>2.1378205128205128</v>
      </c>
      <c r="Q8">
        <f t="shared" si="3"/>
        <v>0.16538461538461535</v>
      </c>
      <c r="R8">
        <v>2</v>
      </c>
      <c r="S8">
        <v>2</v>
      </c>
    </row>
    <row r="9" spans="1:19" x14ac:dyDescent="0.25">
      <c r="A9">
        <v>1</v>
      </c>
      <c r="B9">
        <v>8</v>
      </c>
      <c r="C9">
        <v>12</v>
      </c>
      <c r="D9">
        <v>2</v>
      </c>
      <c r="E9">
        <v>5000</v>
      </c>
      <c r="F9">
        <v>12.5</v>
      </c>
      <c r="G9">
        <v>5</v>
      </c>
      <c r="H9">
        <v>78</v>
      </c>
      <c r="I9">
        <v>0.32051282051281998</v>
      </c>
      <c r="J9">
        <v>6.4102564102564097</v>
      </c>
      <c r="K9">
        <v>2.1282051282051202</v>
      </c>
      <c r="L9">
        <v>13.825641025641</v>
      </c>
      <c r="M9">
        <v>2</v>
      </c>
      <c r="N9">
        <f t="shared" si="2"/>
        <v>1.2820512820512822</v>
      </c>
      <c r="O9">
        <f t="shared" si="0"/>
        <v>6.8910256410256414</v>
      </c>
      <c r="P9">
        <f t="shared" si="1"/>
        <v>2.1378205128205128</v>
      </c>
      <c r="Q9">
        <f t="shared" si="3"/>
        <v>0.1929487179487179</v>
      </c>
      <c r="R9">
        <v>2</v>
      </c>
      <c r="S9">
        <v>2</v>
      </c>
    </row>
    <row r="10" spans="1:19" x14ac:dyDescent="0.25">
      <c r="A10">
        <v>1</v>
      </c>
      <c r="B10">
        <v>9</v>
      </c>
      <c r="C10">
        <v>13</v>
      </c>
      <c r="D10">
        <v>2</v>
      </c>
      <c r="E10">
        <v>5000</v>
      </c>
      <c r="F10">
        <v>12.5</v>
      </c>
      <c r="G10">
        <v>5</v>
      </c>
      <c r="H10">
        <v>78</v>
      </c>
      <c r="I10">
        <v>0.32051282051281998</v>
      </c>
      <c r="J10">
        <v>6.4102564102564097</v>
      </c>
      <c r="K10">
        <v>2.1282051282051202</v>
      </c>
      <c r="L10">
        <v>15.5538461538461</v>
      </c>
      <c r="M10">
        <v>2</v>
      </c>
      <c r="N10">
        <f t="shared" si="2"/>
        <v>1.2820512820512822</v>
      </c>
      <c r="O10">
        <f t="shared" si="0"/>
        <v>6.8910256410256414</v>
      </c>
      <c r="P10">
        <f t="shared" si="1"/>
        <v>2.1378205128205128</v>
      </c>
      <c r="Q10">
        <f t="shared" si="3"/>
        <v>0.22051282051282045</v>
      </c>
      <c r="R10">
        <v>2</v>
      </c>
      <c r="S10">
        <v>2</v>
      </c>
    </row>
    <row r="11" spans="1:19" x14ac:dyDescent="0.25">
      <c r="A11">
        <v>1</v>
      </c>
      <c r="B11">
        <v>10</v>
      </c>
      <c r="C11">
        <v>14</v>
      </c>
      <c r="D11">
        <v>2</v>
      </c>
      <c r="E11">
        <v>5000</v>
      </c>
      <c r="F11">
        <v>12.5</v>
      </c>
      <c r="G11">
        <v>5</v>
      </c>
      <c r="H11">
        <v>78</v>
      </c>
      <c r="I11">
        <v>0.32051282051281998</v>
      </c>
      <c r="J11">
        <v>6.4102564102564097</v>
      </c>
      <c r="K11">
        <v>2.1282051282051202</v>
      </c>
      <c r="L11">
        <v>17.282051282051199</v>
      </c>
      <c r="M11">
        <v>2</v>
      </c>
      <c r="N11">
        <f t="shared" si="2"/>
        <v>1.2820512820512822</v>
      </c>
      <c r="O11">
        <f t="shared" si="0"/>
        <v>6.8910256410256414</v>
      </c>
      <c r="P11">
        <f t="shared" si="1"/>
        <v>2.1378205128205128</v>
      </c>
      <c r="Q11">
        <f t="shared" si="3"/>
        <v>0.248076923076923</v>
      </c>
      <c r="R11">
        <v>2</v>
      </c>
      <c r="S11">
        <v>2</v>
      </c>
    </row>
    <row r="12" spans="1:19" x14ac:dyDescent="0.25">
      <c r="A12">
        <v>1</v>
      </c>
      <c r="B12">
        <v>11</v>
      </c>
      <c r="C12">
        <v>39</v>
      </c>
      <c r="D12">
        <v>2</v>
      </c>
      <c r="E12">
        <v>5000</v>
      </c>
      <c r="F12">
        <v>12.5</v>
      </c>
      <c r="G12">
        <v>5</v>
      </c>
      <c r="H12">
        <v>78</v>
      </c>
      <c r="I12">
        <v>0.32051282051281998</v>
      </c>
      <c r="J12">
        <v>6.4102564102564097</v>
      </c>
      <c r="K12">
        <v>2.1282051282051202</v>
      </c>
      <c r="L12">
        <v>19.0102564102564</v>
      </c>
      <c r="M12">
        <v>2</v>
      </c>
      <c r="N12">
        <f t="shared" si="2"/>
        <v>1.2820512820512822</v>
      </c>
      <c r="O12">
        <f t="shared" si="0"/>
        <v>6.8910256410256414</v>
      </c>
      <c r="P12">
        <f t="shared" si="1"/>
        <v>2.1378205128205128</v>
      </c>
      <c r="Q12">
        <f t="shared" si="3"/>
        <v>0.27564102564102555</v>
      </c>
      <c r="R12">
        <f t="shared" si="4"/>
        <v>1.8621794871794872</v>
      </c>
      <c r="S12">
        <v>2</v>
      </c>
    </row>
    <row r="13" spans="1:19" x14ac:dyDescent="0.25">
      <c r="A13">
        <v>1</v>
      </c>
      <c r="B13">
        <v>12</v>
      </c>
      <c r="C13">
        <v>40</v>
      </c>
      <c r="D13">
        <v>2</v>
      </c>
      <c r="E13">
        <v>5000</v>
      </c>
      <c r="F13">
        <v>12.5</v>
      </c>
      <c r="G13">
        <v>5</v>
      </c>
      <c r="H13">
        <v>78</v>
      </c>
      <c r="I13">
        <v>0.32051282051281998</v>
      </c>
      <c r="J13">
        <v>6.4102564102564097</v>
      </c>
      <c r="K13">
        <v>2.1282051282051202</v>
      </c>
      <c r="L13">
        <v>20.7384615384615</v>
      </c>
      <c r="M13">
        <v>2</v>
      </c>
      <c r="N13">
        <f t="shared" si="2"/>
        <v>1.2820512820512822</v>
      </c>
      <c r="O13">
        <f t="shared" si="0"/>
        <v>6.8910256410256414</v>
      </c>
      <c r="P13">
        <f t="shared" si="1"/>
        <v>2.1378205128205128</v>
      </c>
      <c r="Q13">
        <f t="shared" si="3"/>
        <v>0.30320512820512813</v>
      </c>
      <c r="R13">
        <f t="shared" si="4"/>
        <v>1.8346153846153848</v>
      </c>
      <c r="S13">
        <v>2</v>
      </c>
    </row>
    <row r="14" spans="1:19" x14ac:dyDescent="0.25">
      <c r="A14">
        <v>1</v>
      </c>
      <c r="B14">
        <v>13</v>
      </c>
      <c r="C14">
        <v>41</v>
      </c>
      <c r="D14">
        <v>2</v>
      </c>
      <c r="E14">
        <v>5000</v>
      </c>
      <c r="F14">
        <v>12.5</v>
      </c>
      <c r="G14">
        <v>5</v>
      </c>
      <c r="H14">
        <v>78</v>
      </c>
      <c r="I14">
        <v>0.32051282051281998</v>
      </c>
      <c r="J14">
        <v>6.4102564102564097</v>
      </c>
      <c r="K14">
        <v>2.1282051282051202</v>
      </c>
      <c r="L14">
        <v>22.466666666666601</v>
      </c>
      <c r="M14">
        <v>2</v>
      </c>
      <c r="N14">
        <f t="shared" si="2"/>
        <v>1.2820512820512822</v>
      </c>
      <c r="O14">
        <f t="shared" si="0"/>
        <v>6.8910256410256414</v>
      </c>
      <c r="P14">
        <f t="shared" si="1"/>
        <v>2.1378205128205128</v>
      </c>
      <c r="Q14">
        <f t="shared" si="3"/>
        <v>0.3307692307692307</v>
      </c>
      <c r="R14">
        <f t="shared" si="4"/>
        <v>1.8070512820512821</v>
      </c>
      <c r="S14">
        <v>2</v>
      </c>
    </row>
    <row r="15" spans="1:19" x14ac:dyDescent="0.25">
      <c r="A15">
        <v>1</v>
      </c>
      <c r="B15">
        <v>14</v>
      </c>
      <c r="C15">
        <v>43</v>
      </c>
      <c r="D15">
        <v>2</v>
      </c>
      <c r="E15">
        <v>5000</v>
      </c>
      <c r="F15">
        <v>12.5</v>
      </c>
      <c r="G15">
        <v>5</v>
      </c>
      <c r="H15">
        <v>78</v>
      </c>
      <c r="I15">
        <v>0.32051282051281998</v>
      </c>
      <c r="J15">
        <v>6.4102564102564097</v>
      </c>
      <c r="K15">
        <v>2.1282051282051202</v>
      </c>
      <c r="L15">
        <v>24.194871794871698</v>
      </c>
      <c r="M15">
        <v>2</v>
      </c>
      <c r="N15">
        <f t="shared" si="2"/>
        <v>1.2820512820512822</v>
      </c>
      <c r="O15">
        <f t="shared" si="0"/>
        <v>6.8910256410256414</v>
      </c>
      <c r="P15">
        <f t="shared" si="1"/>
        <v>2.1378205128205128</v>
      </c>
      <c r="Q15">
        <f t="shared" si="3"/>
        <v>0.35833333333333323</v>
      </c>
      <c r="R15">
        <f t="shared" si="4"/>
        <v>1.7794871794871796</v>
      </c>
      <c r="S15">
        <v>2</v>
      </c>
    </row>
    <row r="16" spans="1:19" x14ac:dyDescent="0.25">
      <c r="A16">
        <v>1</v>
      </c>
      <c r="B16">
        <v>15</v>
      </c>
      <c r="C16">
        <v>44</v>
      </c>
      <c r="D16">
        <v>2</v>
      </c>
      <c r="E16">
        <v>5000</v>
      </c>
      <c r="F16">
        <v>12.5</v>
      </c>
      <c r="G16">
        <v>5</v>
      </c>
      <c r="H16">
        <v>78</v>
      </c>
      <c r="I16">
        <v>0.32051282051281998</v>
      </c>
      <c r="J16">
        <v>6.4102564102564097</v>
      </c>
      <c r="K16">
        <v>2.1282051282051202</v>
      </c>
      <c r="L16">
        <v>25.923076923076898</v>
      </c>
      <c r="M16">
        <v>2</v>
      </c>
      <c r="N16">
        <f t="shared" si="2"/>
        <v>1.2820512820512822</v>
      </c>
      <c r="O16">
        <f t="shared" si="0"/>
        <v>6.8910256410256414</v>
      </c>
      <c r="P16">
        <f t="shared" si="1"/>
        <v>2.1378205128205128</v>
      </c>
      <c r="Q16">
        <f t="shared" si="3"/>
        <v>0.3858974358974358</v>
      </c>
      <c r="R16">
        <f t="shared" si="4"/>
        <v>1.7519230769230769</v>
      </c>
      <c r="S16">
        <v>2</v>
      </c>
    </row>
    <row r="17" spans="1:19" x14ac:dyDescent="0.25">
      <c r="A17">
        <v>1</v>
      </c>
      <c r="B17">
        <v>16</v>
      </c>
      <c r="C17">
        <v>45</v>
      </c>
      <c r="D17">
        <v>2</v>
      </c>
      <c r="E17">
        <v>5000</v>
      </c>
      <c r="F17">
        <v>12.5</v>
      </c>
      <c r="G17">
        <v>5</v>
      </c>
      <c r="H17">
        <v>78</v>
      </c>
      <c r="I17">
        <v>0.32051282051281998</v>
      </c>
      <c r="J17">
        <v>6.4102564102564097</v>
      </c>
      <c r="K17">
        <v>2.1282051282051202</v>
      </c>
      <c r="L17">
        <v>27.651282051281999</v>
      </c>
      <c r="M17">
        <v>2</v>
      </c>
      <c r="N17">
        <f t="shared" si="2"/>
        <v>1.2820512820512822</v>
      </c>
      <c r="O17">
        <f t="shared" si="0"/>
        <v>6.8910256410256414</v>
      </c>
      <c r="P17">
        <f t="shared" si="1"/>
        <v>2.1378205128205128</v>
      </c>
      <c r="Q17">
        <f t="shared" si="3"/>
        <v>0.41346153846153832</v>
      </c>
      <c r="R17">
        <f t="shared" si="4"/>
        <v>1.7243589743589745</v>
      </c>
      <c r="S17">
        <v>2</v>
      </c>
    </row>
    <row r="18" spans="1:19" x14ac:dyDescent="0.25">
      <c r="A18">
        <v>1</v>
      </c>
      <c r="B18">
        <v>17</v>
      </c>
      <c r="C18">
        <v>46</v>
      </c>
      <c r="D18">
        <v>2</v>
      </c>
      <c r="E18">
        <v>5000</v>
      </c>
      <c r="F18">
        <v>12.5</v>
      </c>
      <c r="G18">
        <v>5</v>
      </c>
      <c r="H18">
        <v>78</v>
      </c>
      <c r="I18">
        <v>0.32051282051281998</v>
      </c>
      <c r="J18">
        <v>6.4102564102564097</v>
      </c>
      <c r="K18">
        <v>2.1282051282051202</v>
      </c>
      <c r="L18">
        <v>29.3794871794871</v>
      </c>
      <c r="M18">
        <v>2</v>
      </c>
      <c r="N18">
        <f t="shared" si="2"/>
        <v>1.2820512820512822</v>
      </c>
      <c r="O18">
        <f t="shared" si="0"/>
        <v>6.8910256410256414</v>
      </c>
      <c r="P18">
        <f t="shared" si="1"/>
        <v>2.1378205128205128</v>
      </c>
      <c r="Q18">
        <f t="shared" si="3"/>
        <v>0.4410256410256409</v>
      </c>
      <c r="R18">
        <f t="shared" si="4"/>
        <v>1.696794871794872</v>
      </c>
      <c r="S18">
        <v>2</v>
      </c>
    </row>
    <row r="19" spans="1:19" x14ac:dyDescent="0.25">
      <c r="A19">
        <v>2</v>
      </c>
      <c r="B19">
        <v>1</v>
      </c>
      <c r="C19">
        <v>4</v>
      </c>
      <c r="D19">
        <v>4</v>
      </c>
      <c r="E19">
        <v>5000</v>
      </c>
      <c r="F19">
        <v>12.5</v>
      </c>
      <c r="G19">
        <v>5</v>
      </c>
      <c r="H19">
        <v>78</v>
      </c>
      <c r="I19">
        <v>0.64102564102564097</v>
      </c>
      <c r="J19">
        <v>6.5705128205128203</v>
      </c>
      <c r="K19">
        <v>4.2628205128205101</v>
      </c>
      <c r="L19">
        <v>3.4628205128205098</v>
      </c>
      <c r="M19">
        <v>0</v>
      </c>
      <c r="N19">
        <f t="shared" si="2"/>
        <v>2.5641025641025643</v>
      </c>
      <c r="O19">
        <f t="shared" si="0"/>
        <v>7.5320512820512819</v>
      </c>
      <c r="P19">
        <f t="shared" si="1"/>
        <v>4.3012820512820511</v>
      </c>
      <c r="Q19">
        <f t="shared" si="3"/>
        <v>0</v>
      </c>
      <c r="R19">
        <f>P19 - Q19</f>
        <v>4.3012820512820511</v>
      </c>
      <c r="S19">
        <v>4</v>
      </c>
    </row>
    <row r="20" spans="1:19" x14ac:dyDescent="0.25">
      <c r="A20">
        <v>2</v>
      </c>
      <c r="B20">
        <v>2</v>
      </c>
      <c r="C20">
        <v>5</v>
      </c>
      <c r="D20">
        <v>4</v>
      </c>
      <c r="E20">
        <v>5000</v>
      </c>
      <c r="F20">
        <v>12.5</v>
      </c>
      <c r="G20">
        <v>5</v>
      </c>
      <c r="H20">
        <v>78</v>
      </c>
      <c r="I20">
        <v>0.64102564102564097</v>
      </c>
      <c r="J20">
        <v>6.5705128205128203</v>
      </c>
      <c r="K20">
        <v>4.2628205128205101</v>
      </c>
      <c r="L20">
        <v>6.9256410256410197</v>
      </c>
      <c r="M20">
        <v>-2</v>
      </c>
      <c r="N20">
        <f t="shared" si="2"/>
        <v>2.5641025641025643</v>
      </c>
      <c r="O20">
        <f t="shared" si="0"/>
        <v>7.5320512820512819</v>
      </c>
      <c r="P20">
        <f t="shared" si="1"/>
        <v>4.3012820512820511</v>
      </c>
      <c r="Q20">
        <f t="shared" si="3"/>
        <v>6.0256410256410223E-2</v>
      </c>
      <c r="R20">
        <f t="shared" si="4"/>
        <v>4.2410256410256411</v>
      </c>
      <c r="S20">
        <v>4</v>
      </c>
    </row>
    <row r="21" spans="1:19" x14ac:dyDescent="0.25">
      <c r="A21">
        <v>2</v>
      </c>
      <c r="B21">
        <v>3</v>
      </c>
      <c r="C21">
        <v>6</v>
      </c>
      <c r="D21">
        <v>4</v>
      </c>
      <c r="E21">
        <v>5000</v>
      </c>
      <c r="F21">
        <v>12.5</v>
      </c>
      <c r="G21">
        <v>5</v>
      </c>
      <c r="H21">
        <v>78</v>
      </c>
      <c r="I21">
        <v>0.64102564102564097</v>
      </c>
      <c r="J21">
        <v>6.5705128205128203</v>
      </c>
      <c r="K21">
        <v>4.2628205128205101</v>
      </c>
      <c r="L21">
        <v>10.388461538461501</v>
      </c>
      <c r="M21">
        <v>-6</v>
      </c>
      <c r="N21">
        <f t="shared" si="2"/>
        <v>2.5641025641025643</v>
      </c>
      <c r="O21">
        <f t="shared" si="0"/>
        <v>7.5320512820512819</v>
      </c>
      <c r="P21">
        <f t="shared" si="1"/>
        <v>4.3012820512820511</v>
      </c>
      <c r="Q21">
        <f t="shared" si="3"/>
        <v>0.12051282051282045</v>
      </c>
      <c r="R21">
        <f t="shared" si="4"/>
        <v>4.180769230769231</v>
      </c>
      <c r="S21">
        <v>4</v>
      </c>
    </row>
    <row r="22" spans="1:19" x14ac:dyDescent="0.25">
      <c r="A22">
        <v>2</v>
      </c>
      <c r="B22">
        <v>4</v>
      </c>
      <c r="C22">
        <v>7</v>
      </c>
      <c r="D22">
        <v>4</v>
      </c>
      <c r="E22">
        <v>5000</v>
      </c>
      <c r="F22">
        <v>12.5</v>
      </c>
      <c r="G22">
        <v>5</v>
      </c>
      <c r="H22">
        <v>78</v>
      </c>
      <c r="I22">
        <v>0.64102564102564097</v>
      </c>
      <c r="J22">
        <v>6.5705128205128203</v>
      </c>
      <c r="K22">
        <v>4.2628205128205101</v>
      </c>
      <c r="L22">
        <v>13.851282051282</v>
      </c>
      <c r="M22">
        <v>-9</v>
      </c>
      <c r="N22">
        <f t="shared" si="2"/>
        <v>2.5641025641025643</v>
      </c>
      <c r="O22">
        <f t="shared" si="0"/>
        <v>7.5320512820512819</v>
      </c>
      <c r="P22">
        <f t="shared" si="1"/>
        <v>4.3012820512820511</v>
      </c>
      <c r="Q22">
        <f t="shared" si="3"/>
        <v>0.18076923076923068</v>
      </c>
      <c r="R22">
        <f t="shared" si="4"/>
        <v>4.1205128205128201</v>
      </c>
      <c r="S22">
        <v>4</v>
      </c>
    </row>
    <row r="23" spans="1:19" x14ac:dyDescent="0.25">
      <c r="A23">
        <v>2</v>
      </c>
      <c r="B23">
        <v>5</v>
      </c>
      <c r="C23">
        <v>19</v>
      </c>
      <c r="D23">
        <v>4</v>
      </c>
      <c r="E23">
        <v>5000</v>
      </c>
      <c r="F23">
        <v>12.5</v>
      </c>
      <c r="G23">
        <v>5</v>
      </c>
      <c r="H23">
        <v>78</v>
      </c>
      <c r="I23">
        <v>0.64102564102564097</v>
      </c>
      <c r="J23">
        <v>6.5705128205128203</v>
      </c>
      <c r="K23">
        <v>4.2628205128205101</v>
      </c>
      <c r="L23">
        <v>17.314102564102502</v>
      </c>
      <c r="M23">
        <v>-13</v>
      </c>
      <c r="N23">
        <f t="shared" si="2"/>
        <v>2.5641025641025643</v>
      </c>
      <c r="O23">
        <f t="shared" si="0"/>
        <v>7.5320512820512819</v>
      </c>
      <c r="P23">
        <f t="shared" si="1"/>
        <v>4.3012820512820511</v>
      </c>
      <c r="Q23">
        <f t="shared" si="3"/>
        <v>0.24102564102564089</v>
      </c>
      <c r="R23">
        <f t="shared" si="4"/>
        <v>4.06025641025641</v>
      </c>
      <c r="S23">
        <v>4</v>
      </c>
    </row>
    <row r="24" spans="1:19" x14ac:dyDescent="0.25">
      <c r="A24">
        <v>2</v>
      </c>
      <c r="B24">
        <v>6</v>
      </c>
      <c r="C24">
        <v>20</v>
      </c>
      <c r="D24">
        <v>4</v>
      </c>
      <c r="E24">
        <v>5000</v>
      </c>
      <c r="F24">
        <v>12.5</v>
      </c>
      <c r="G24">
        <v>5</v>
      </c>
      <c r="H24">
        <v>78</v>
      </c>
      <c r="I24">
        <v>0.64102564102564097</v>
      </c>
      <c r="J24">
        <v>6.5705128205128203</v>
      </c>
      <c r="K24">
        <v>4.2628205128205101</v>
      </c>
      <c r="L24">
        <v>20.776923076923001</v>
      </c>
      <c r="M24">
        <v>4</v>
      </c>
      <c r="N24">
        <f t="shared" si="2"/>
        <v>2.5641025641025643</v>
      </c>
      <c r="O24">
        <f t="shared" si="0"/>
        <v>7.5320512820512819</v>
      </c>
      <c r="P24">
        <f t="shared" si="1"/>
        <v>4.3012820512820511</v>
      </c>
      <c r="Q24">
        <f t="shared" si="3"/>
        <v>0.3012820512820511</v>
      </c>
      <c r="R24">
        <f>P24 - Q24</f>
        <v>4</v>
      </c>
      <c r="S24">
        <v>4</v>
      </c>
    </row>
    <row r="25" spans="1:19" x14ac:dyDescent="0.25">
      <c r="A25">
        <v>2</v>
      </c>
      <c r="B25">
        <v>7</v>
      </c>
      <c r="C25">
        <v>21</v>
      </c>
      <c r="D25">
        <v>4</v>
      </c>
      <c r="E25">
        <v>5000</v>
      </c>
      <c r="F25">
        <v>12.5</v>
      </c>
      <c r="G25">
        <v>5</v>
      </c>
      <c r="H25">
        <v>78</v>
      </c>
      <c r="I25">
        <v>0.64102564102564097</v>
      </c>
      <c r="J25">
        <v>6.5705128205128203</v>
      </c>
      <c r="K25">
        <v>4.2628205128205101</v>
      </c>
      <c r="L25">
        <v>24.239743589743501</v>
      </c>
      <c r="M25">
        <v>4</v>
      </c>
      <c r="N25">
        <f t="shared" si="2"/>
        <v>2.5641025641025643</v>
      </c>
      <c r="O25">
        <f t="shared" si="0"/>
        <v>7.5320512820512819</v>
      </c>
      <c r="P25">
        <f t="shared" si="1"/>
        <v>4.3012820512820511</v>
      </c>
      <c r="Q25">
        <f t="shared" si="3"/>
        <v>0.36153846153846136</v>
      </c>
      <c r="R25">
        <f t="shared" si="4"/>
        <v>3.93974358974359</v>
      </c>
      <c r="S25">
        <v>4</v>
      </c>
    </row>
    <row r="26" spans="1:19" x14ac:dyDescent="0.25">
      <c r="A26">
        <v>2</v>
      </c>
      <c r="B26">
        <v>8</v>
      </c>
      <c r="C26">
        <v>22</v>
      </c>
      <c r="D26">
        <v>4</v>
      </c>
      <c r="E26">
        <v>5000</v>
      </c>
      <c r="F26">
        <v>12.5</v>
      </c>
      <c r="G26">
        <v>5</v>
      </c>
      <c r="H26">
        <v>78</v>
      </c>
      <c r="I26">
        <v>0.64102564102564097</v>
      </c>
      <c r="J26">
        <v>6.5705128205128203</v>
      </c>
      <c r="K26">
        <v>4.2628205128205101</v>
      </c>
      <c r="L26">
        <v>27.7025641025641</v>
      </c>
      <c r="M26">
        <v>4</v>
      </c>
      <c r="N26">
        <f t="shared" si="2"/>
        <v>2.5641025641025643</v>
      </c>
      <c r="O26">
        <f t="shared" si="0"/>
        <v>7.5320512820512819</v>
      </c>
      <c r="P26">
        <f t="shared" si="1"/>
        <v>4.3012820512820511</v>
      </c>
      <c r="Q26">
        <f t="shared" si="3"/>
        <v>0.42179487179487157</v>
      </c>
      <c r="R26">
        <f t="shared" si="4"/>
        <v>3.8794871794871795</v>
      </c>
      <c r="S26">
        <v>4</v>
      </c>
    </row>
    <row r="27" spans="1:19" x14ac:dyDescent="0.25">
      <c r="A27">
        <v>2</v>
      </c>
      <c r="B27">
        <v>9</v>
      </c>
      <c r="C27">
        <v>23</v>
      </c>
      <c r="D27">
        <v>4</v>
      </c>
      <c r="E27">
        <v>5000</v>
      </c>
      <c r="F27">
        <v>12.5</v>
      </c>
      <c r="G27">
        <v>5</v>
      </c>
      <c r="H27">
        <v>78</v>
      </c>
      <c r="I27">
        <v>0.64102564102564097</v>
      </c>
      <c r="J27">
        <v>6.5705128205128203</v>
      </c>
      <c r="K27">
        <v>4.2628205128205101</v>
      </c>
      <c r="L27">
        <v>31.1653846153846</v>
      </c>
      <c r="M27">
        <v>4</v>
      </c>
      <c r="N27">
        <f t="shared" si="2"/>
        <v>2.5641025641025643</v>
      </c>
      <c r="O27">
        <f t="shared" si="0"/>
        <v>7.5320512820512819</v>
      </c>
      <c r="P27">
        <f t="shared" si="1"/>
        <v>4.3012820512820511</v>
      </c>
      <c r="Q27">
        <f t="shared" si="3"/>
        <v>0.48205128205128178</v>
      </c>
      <c r="R27">
        <f t="shared" si="4"/>
        <v>3.8192307692307694</v>
      </c>
      <c r="S27">
        <v>4</v>
      </c>
    </row>
    <row r="28" spans="1:19" x14ac:dyDescent="0.25">
      <c r="A28">
        <v>2</v>
      </c>
      <c r="B28">
        <v>10</v>
      </c>
      <c r="C28">
        <v>24</v>
      </c>
      <c r="D28">
        <v>4</v>
      </c>
      <c r="E28">
        <v>5000</v>
      </c>
      <c r="F28">
        <v>12.5</v>
      </c>
      <c r="G28">
        <v>5</v>
      </c>
      <c r="H28">
        <v>78</v>
      </c>
      <c r="I28">
        <v>0.64102564102564097</v>
      </c>
      <c r="J28">
        <v>6.5705128205128203</v>
      </c>
      <c r="K28">
        <v>4.2628205128205101</v>
      </c>
      <c r="L28">
        <v>34.628205128205103</v>
      </c>
      <c r="M28">
        <v>4</v>
      </c>
      <c r="N28">
        <f t="shared" si="2"/>
        <v>2.5641025641025643</v>
      </c>
      <c r="O28">
        <f t="shared" si="0"/>
        <v>7.5320512820512819</v>
      </c>
      <c r="P28">
        <f t="shared" si="1"/>
        <v>4.3012820512820511</v>
      </c>
      <c r="Q28">
        <f t="shared" si="3"/>
        <v>0.54230769230769205</v>
      </c>
      <c r="R28">
        <f t="shared" si="4"/>
        <v>3.7589743589743589</v>
      </c>
      <c r="S28">
        <v>4</v>
      </c>
    </row>
    <row r="29" spans="1:19" x14ac:dyDescent="0.25">
      <c r="A29">
        <v>2</v>
      </c>
      <c r="B29">
        <v>11</v>
      </c>
      <c r="C29">
        <v>25</v>
      </c>
      <c r="D29">
        <v>4</v>
      </c>
      <c r="E29">
        <v>5000</v>
      </c>
      <c r="F29">
        <v>12.5</v>
      </c>
      <c r="G29">
        <v>5</v>
      </c>
      <c r="H29">
        <v>78</v>
      </c>
      <c r="I29">
        <v>0.64102564102564097</v>
      </c>
      <c r="J29">
        <v>6.5705128205128203</v>
      </c>
      <c r="K29">
        <v>4.2628205128205101</v>
      </c>
      <c r="L29">
        <v>38.091025641025603</v>
      </c>
      <c r="M29">
        <v>4</v>
      </c>
      <c r="N29">
        <f t="shared" si="2"/>
        <v>2.5641025641025643</v>
      </c>
      <c r="O29">
        <f t="shared" si="0"/>
        <v>7.5320512820512819</v>
      </c>
      <c r="P29">
        <f t="shared" si="1"/>
        <v>4.3012820512820511</v>
      </c>
      <c r="Q29">
        <f t="shared" si="3"/>
        <v>0.6025641025641022</v>
      </c>
      <c r="R29">
        <f t="shared" si="4"/>
        <v>3.6987179487179489</v>
      </c>
      <c r="S29">
        <v>4</v>
      </c>
    </row>
    <row r="30" spans="1:19" x14ac:dyDescent="0.25">
      <c r="A30">
        <v>2</v>
      </c>
      <c r="B30">
        <v>12</v>
      </c>
      <c r="C30">
        <v>27</v>
      </c>
      <c r="D30">
        <v>4</v>
      </c>
      <c r="E30">
        <v>5000</v>
      </c>
      <c r="F30">
        <v>12.5</v>
      </c>
      <c r="G30">
        <v>5</v>
      </c>
      <c r="H30">
        <v>78</v>
      </c>
      <c r="I30">
        <v>0.64102564102564097</v>
      </c>
      <c r="J30">
        <v>6.5705128205128203</v>
      </c>
      <c r="K30">
        <v>4.2628205128205101</v>
      </c>
      <c r="L30">
        <v>41.553846153846102</v>
      </c>
      <c r="M30">
        <v>4</v>
      </c>
      <c r="N30">
        <f t="shared" si="2"/>
        <v>2.5641025641025643</v>
      </c>
      <c r="O30">
        <f t="shared" si="0"/>
        <v>7.5320512820512819</v>
      </c>
      <c r="P30">
        <f t="shared" si="1"/>
        <v>4.3012820512820511</v>
      </c>
      <c r="Q30">
        <f t="shared" si="3"/>
        <v>0.66282051282051246</v>
      </c>
      <c r="R30">
        <f t="shared" si="4"/>
        <v>3.6384615384615389</v>
      </c>
      <c r="S30">
        <v>4</v>
      </c>
    </row>
    <row r="31" spans="1:19" x14ac:dyDescent="0.25">
      <c r="A31">
        <v>2</v>
      </c>
      <c r="B31">
        <v>13</v>
      </c>
      <c r="C31">
        <v>29</v>
      </c>
      <c r="D31">
        <v>4</v>
      </c>
      <c r="E31">
        <v>5000</v>
      </c>
      <c r="F31">
        <v>12.5</v>
      </c>
      <c r="G31">
        <v>5</v>
      </c>
      <c r="H31">
        <v>78</v>
      </c>
      <c r="I31">
        <v>0.64102564102564097</v>
      </c>
      <c r="J31">
        <v>6.5705128205128203</v>
      </c>
      <c r="K31">
        <v>4.2628205128205101</v>
      </c>
      <c r="L31">
        <v>45.016666666666602</v>
      </c>
      <c r="M31">
        <v>4</v>
      </c>
      <c r="N31">
        <f t="shared" si="2"/>
        <v>2.5641025641025643</v>
      </c>
      <c r="O31">
        <f t="shared" si="0"/>
        <v>7.5320512820512819</v>
      </c>
      <c r="P31">
        <f t="shared" si="1"/>
        <v>4.3012820512820511</v>
      </c>
      <c r="Q31">
        <f t="shared" si="3"/>
        <v>0.72307692307692273</v>
      </c>
      <c r="R31">
        <f t="shared" si="4"/>
        <v>3.5782051282051284</v>
      </c>
      <c r="S31">
        <v>4</v>
      </c>
    </row>
    <row r="32" spans="1:19" x14ac:dyDescent="0.25">
      <c r="A32">
        <v>2</v>
      </c>
      <c r="B32">
        <v>14</v>
      </c>
      <c r="C32">
        <v>30</v>
      </c>
      <c r="D32">
        <v>4</v>
      </c>
      <c r="E32">
        <v>5000</v>
      </c>
      <c r="F32">
        <v>12.5</v>
      </c>
      <c r="G32">
        <v>5</v>
      </c>
      <c r="H32">
        <v>78</v>
      </c>
      <c r="I32">
        <v>0.64102564102564097</v>
      </c>
      <c r="J32">
        <v>6.5705128205128203</v>
      </c>
      <c r="K32">
        <v>4.2628205128205101</v>
      </c>
      <c r="L32">
        <v>48.479487179487101</v>
      </c>
      <c r="M32">
        <v>4</v>
      </c>
      <c r="N32">
        <f t="shared" si="2"/>
        <v>2.5641025641025643</v>
      </c>
      <c r="O32">
        <f t="shared" si="0"/>
        <v>7.5320512820512819</v>
      </c>
      <c r="P32">
        <f t="shared" si="1"/>
        <v>4.3012820512820511</v>
      </c>
      <c r="Q32">
        <f t="shared" si="3"/>
        <v>0.78333333333333288</v>
      </c>
      <c r="R32">
        <f t="shared" si="4"/>
        <v>3.5179487179487183</v>
      </c>
      <c r="S32">
        <v>4</v>
      </c>
    </row>
    <row r="33" spans="1:19" x14ac:dyDescent="0.25">
      <c r="A33">
        <v>2</v>
      </c>
      <c r="B33">
        <v>15</v>
      </c>
      <c r="C33">
        <v>31</v>
      </c>
      <c r="D33">
        <v>4</v>
      </c>
      <c r="E33">
        <v>5000</v>
      </c>
      <c r="F33">
        <v>12.5</v>
      </c>
      <c r="G33">
        <v>5</v>
      </c>
      <c r="H33">
        <v>78</v>
      </c>
      <c r="I33">
        <v>0.64102564102564097</v>
      </c>
      <c r="J33">
        <v>6.5705128205128203</v>
      </c>
      <c r="K33">
        <v>4.2628205128205101</v>
      </c>
      <c r="L33">
        <v>51.942307692307601</v>
      </c>
      <c r="M33">
        <v>4</v>
      </c>
      <c r="N33">
        <f t="shared" si="2"/>
        <v>2.5641025641025643</v>
      </c>
      <c r="O33">
        <f t="shared" si="0"/>
        <v>7.5320512820512819</v>
      </c>
      <c r="P33">
        <f t="shared" si="1"/>
        <v>4.3012820512820511</v>
      </c>
      <c r="Q33">
        <f t="shared" si="3"/>
        <v>0.84358974358974315</v>
      </c>
      <c r="R33">
        <f t="shared" si="4"/>
        <v>3.4576923076923078</v>
      </c>
      <c r="S33">
        <v>4</v>
      </c>
    </row>
    <row r="34" spans="1:19" x14ac:dyDescent="0.25">
      <c r="A34">
        <v>2</v>
      </c>
      <c r="B34">
        <v>16</v>
      </c>
      <c r="C34">
        <v>53</v>
      </c>
      <c r="D34">
        <v>4</v>
      </c>
      <c r="E34">
        <v>5000</v>
      </c>
      <c r="F34">
        <v>12.5</v>
      </c>
      <c r="G34">
        <v>5</v>
      </c>
      <c r="H34">
        <v>78</v>
      </c>
      <c r="I34">
        <v>0.64102564102564097</v>
      </c>
      <c r="J34">
        <v>6.5705128205128203</v>
      </c>
      <c r="K34">
        <v>4.2628205128205101</v>
      </c>
      <c r="L34">
        <v>55.4051282051282</v>
      </c>
      <c r="M34">
        <v>4</v>
      </c>
      <c r="N34">
        <f t="shared" si="2"/>
        <v>2.5641025641025643</v>
      </c>
      <c r="O34">
        <f t="shared" ref="O34:O65" si="5">(F34 + N34) / 2</f>
        <v>7.5320512820512819</v>
      </c>
      <c r="P34">
        <f t="shared" ref="P34:P65" si="6">D34 + ((D34 * O34) / 100)</f>
        <v>4.3012820512820511</v>
      </c>
      <c r="Q34">
        <f t="shared" si="3"/>
        <v>0.9038461538461533</v>
      </c>
      <c r="R34">
        <f t="shared" si="4"/>
        <v>3.3974358974358978</v>
      </c>
      <c r="S34">
        <v>4</v>
      </c>
    </row>
    <row r="35" spans="1:19" x14ac:dyDescent="0.25">
      <c r="A35">
        <v>2</v>
      </c>
      <c r="B35">
        <v>17</v>
      </c>
      <c r="C35">
        <v>66</v>
      </c>
      <c r="D35">
        <v>4</v>
      </c>
      <c r="E35">
        <v>5000</v>
      </c>
      <c r="F35">
        <v>12.5</v>
      </c>
      <c r="G35">
        <v>5</v>
      </c>
      <c r="H35">
        <v>78</v>
      </c>
      <c r="I35">
        <v>0.64102564102564097</v>
      </c>
      <c r="J35">
        <v>6.5705128205128203</v>
      </c>
      <c r="K35">
        <v>4.2628205128205101</v>
      </c>
      <c r="L35">
        <v>58.8679487179487</v>
      </c>
      <c r="M35">
        <v>4</v>
      </c>
      <c r="N35">
        <f t="shared" si="2"/>
        <v>2.5641025641025643</v>
      </c>
      <c r="O35">
        <f t="shared" si="5"/>
        <v>7.5320512820512819</v>
      </c>
      <c r="P35">
        <f t="shared" si="6"/>
        <v>4.3012820512820511</v>
      </c>
      <c r="Q35">
        <f t="shared" si="3"/>
        <v>0.96410256410256356</v>
      </c>
      <c r="R35">
        <f t="shared" si="4"/>
        <v>3.3371794871794878</v>
      </c>
      <c r="S35">
        <v>4</v>
      </c>
    </row>
    <row r="36" spans="1:19" x14ac:dyDescent="0.25">
      <c r="A36">
        <v>2</v>
      </c>
      <c r="B36">
        <v>18</v>
      </c>
      <c r="C36">
        <v>103</v>
      </c>
      <c r="D36">
        <v>4</v>
      </c>
      <c r="E36">
        <v>5000</v>
      </c>
      <c r="F36">
        <v>12.5</v>
      </c>
      <c r="G36">
        <v>5</v>
      </c>
      <c r="H36">
        <v>78</v>
      </c>
      <c r="I36">
        <v>0.64102564102564097</v>
      </c>
      <c r="J36">
        <v>6.5705128205128203</v>
      </c>
      <c r="K36">
        <v>4.2628205128205101</v>
      </c>
      <c r="L36">
        <v>62.330769230769199</v>
      </c>
      <c r="M36">
        <v>4</v>
      </c>
      <c r="N36">
        <f t="shared" si="2"/>
        <v>2.5641025641025643</v>
      </c>
      <c r="O36">
        <f t="shared" si="5"/>
        <v>7.5320512820512819</v>
      </c>
      <c r="P36">
        <f t="shared" si="6"/>
        <v>4.3012820512820511</v>
      </c>
      <c r="Q36">
        <f t="shared" si="3"/>
        <v>1.0243589743589738</v>
      </c>
      <c r="R36">
        <f t="shared" si="4"/>
        <v>3.2769230769230773</v>
      </c>
      <c r="S36">
        <v>4</v>
      </c>
    </row>
    <row r="37" spans="1:19" x14ac:dyDescent="0.25">
      <c r="A37">
        <v>2</v>
      </c>
      <c r="B37">
        <v>19</v>
      </c>
      <c r="C37">
        <v>123</v>
      </c>
      <c r="D37">
        <v>4</v>
      </c>
      <c r="E37">
        <v>5000</v>
      </c>
      <c r="F37">
        <v>12.5</v>
      </c>
      <c r="G37">
        <v>5</v>
      </c>
      <c r="H37">
        <v>78</v>
      </c>
      <c r="I37">
        <v>0.64102564102564097</v>
      </c>
      <c r="J37">
        <v>6.5705128205128203</v>
      </c>
      <c r="K37">
        <v>4.2628205128205101</v>
      </c>
      <c r="L37">
        <v>65.793589743589706</v>
      </c>
      <c r="M37">
        <v>4</v>
      </c>
      <c r="N37">
        <f t="shared" si="2"/>
        <v>2.5641025641025643</v>
      </c>
      <c r="O37">
        <f t="shared" si="5"/>
        <v>7.5320512820512819</v>
      </c>
      <c r="P37">
        <f t="shared" si="6"/>
        <v>4.3012820512820511</v>
      </c>
      <c r="Q37">
        <f t="shared" si="3"/>
        <v>1.0846153846153841</v>
      </c>
      <c r="R37">
        <f t="shared" si="4"/>
        <v>3.2166666666666668</v>
      </c>
      <c r="S37">
        <v>4</v>
      </c>
    </row>
    <row r="38" spans="1:19" x14ac:dyDescent="0.25">
      <c r="A38">
        <v>2</v>
      </c>
      <c r="B38">
        <v>20</v>
      </c>
      <c r="C38">
        <v>124</v>
      </c>
      <c r="D38">
        <v>4</v>
      </c>
      <c r="E38">
        <v>5000</v>
      </c>
      <c r="F38">
        <v>12.5</v>
      </c>
      <c r="G38">
        <v>5</v>
      </c>
      <c r="H38">
        <v>78</v>
      </c>
      <c r="I38">
        <v>0.64102564102564097</v>
      </c>
      <c r="J38">
        <v>6.5705128205128203</v>
      </c>
      <c r="K38">
        <v>4.2628205128205101</v>
      </c>
      <c r="L38">
        <v>69.256410256410206</v>
      </c>
      <c r="M38">
        <v>4</v>
      </c>
      <c r="N38">
        <f t="shared" si="2"/>
        <v>2.5641025641025643</v>
      </c>
      <c r="O38">
        <f t="shared" si="5"/>
        <v>7.5320512820512819</v>
      </c>
      <c r="P38">
        <f t="shared" si="6"/>
        <v>4.3012820512820511</v>
      </c>
      <c r="Q38">
        <f t="shared" si="3"/>
        <v>1.1448717948717941</v>
      </c>
      <c r="R38">
        <f t="shared" si="4"/>
        <v>3.1564102564102567</v>
      </c>
      <c r="S38">
        <v>4</v>
      </c>
    </row>
    <row r="39" spans="1:19" x14ac:dyDescent="0.25">
      <c r="A39">
        <v>2</v>
      </c>
      <c r="B39">
        <v>21</v>
      </c>
      <c r="C39">
        <v>125</v>
      </c>
      <c r="D39">
        <v>4</v>
      </c>
      <c r="E39">
        <v>5000</v>
      </c>
      <c r="F39">
        <v>12.5</v>
      </c>
      <c r="G39">
        <v>5</v>
      </c>
      <c r="H39">
        <v>78</v>
      </c>
      <c r="I39">
        <v>0.64102564102564097</v>
      </c>
      <c r="J39">
        <v>6.5705128205128203</v>
      </c>
      <c r="K39">
        <v>4.2628205128205101</v>
      </c>
      <c r="L39">
        <v>72.719230769230705</v>
      </c>
      <c r="M39">
        <v>4</v>
      </c>
      <c r="N39">
        <f t="shared" si="2"/>
        <v>2.5641025641025643</v>
      </c>
      <c r="O39">
        <f t="shared" si="5"/>
        <v>7.5320512820512819</v>
      </c>
      <c r="P39">
        <f t="shared" si="6"/>
        <v>4.3012820512820511</v>
      </c>
      <c r="Q39">
        <f t="shared" si="3"/>
        <v>1.2051282051282044</v>
      </c>
      <c r="R39">
        <f t="shared" si="4"/>
        <v>3.0961538461538467</v>
      </c>
      <c r="S39">
        <v>4</v>
      </c>
    </row>
    <row r="40" spans="1:19" x14ac:dyDescent="0.25">
      <c r="A40">
        <v>2</v>
      </c>
      <c r="B40">
        <v>22</v>
      </c>
      <c r="C40">
        <v>126</v>
      </c>
      <c r="D40">
        <v>4</v>
      </c>
      <c r="E40">
        <v>5000</v>
      </c>
      <c r="F40">
        <v>12.5</v>
      </c>
      <c r="G40">
        <v>5</v>
      </c>
      <c r="H40">
        <v>78</v>
      </c>
      <c r="I40">
        <v>0.64102564102564097</v>
      </c>
      <c r="J40">
        <v>6.5705128205128203</v>
      </c>
      <c r="K40">
        <v>4.2628205128205101</v>
      </c>
      <c r="L40">
        <v>76.182051282051205</v>
      </c>
      <c r="M40">
        <v>4</v>
      </c>
      <c r="N40">
        <f t="shared" si="2"/>
        <v>2.5641025641025643</v>
      </c>
      <c r="O40">
        <f t="shared" si="5"/>
        <v>7.5320512820512819</v>
      </c>
      <c r="P40">
        <f t="shared" si="6"/>
        <v>4.3012820512820511</v>
      </c>
      <c r="Q40">
        <f t="shared" si="3"/>
        <v>1.2653846153846147</v>
      </c>
      <c r="R40">
        <f t="shared" si="4"/>
        <v>3.0358974358974367</v>
      </c>
      <c r="S40">
        <v>4</v>
      </c>
    </row>
    <row r="41" spans="1:19" x14ac:dyDescent="0.25">
      <c r="A41">
        <v>3</v>
      </c>
      <c r="B41">
        <v>1</v>
      </c>
      <c r="C41">
        <v>15</v>
      </c>
      <c r="D41">
        <v>39</v>
      </c>
      <c r="E41">
        <v>5000</v>
      </c>
      <c r="F41">
        <v>12.5</v>
      </c>
      <c r="G41">
        <v>5</v>
      </c>
      <c r="H41">
        <v>78</v>
      </c>
      <c r="I41">
        <v>0.96153846153846101</v>
      </c>
      <c r="J41">
        <v>6.7307692307692299</v>
      </c>
      <c r="K41">
        <v>41.625</v>
      </c>
      <c r="L41">
        <v>33.825000000000003</v>
      </c>
      <c r="M41">
        <v>7</v>
      </c>
      <c r="N41">
        <f t="shared" si="2"/>
        <v>3.8461538461538463</v>
      </c>
      <c r="O41">
        <f t="shared" si="5"/>
        <v>8.1730769230769234</v>
      </c>
      <c r="P41">
        <f t="shared" si="6"/>
        <v>42.1875</v>
      </c>
      <c r="Q41">
        <f t="shared" si="3"/>
        <v>0</v>
      </c>
      <c r="R41">
        <f>P41 - Q41</f>
        <v>42.1875</v>
      </c>
      <c r="S41">
        <v>39</v>
      </c>
    </row>
    <row r="42" spans="1:19" x14ac:dyDescent="0.25">
      <c r="A42">
        <v>3</v>
      </c>
      <c r="B42">
        <v>2</v>
      </c>
      <c r="C42">
        <v>16</v>
      </c>
      <c r="D42">
        <v>39</v>
      </c>
      <c r="E42">
        <v>5000</v>
      </c>
      <c r="F42">
        <v>12.5</v>
      </c>
      <c r="G42">
        <v>5</v>
      </c>
      <c r="H42">
        <v>78</v>
      </c>
      <c r="I42">
        <v>0.96153846153846101</v>
      </c>
      <c r="J42">
        <v>6.7307692307692299</v>
      </c>
      <c r="K42">
        <v>41.625</v>
      </c>
      <c r="L42">
        <v>67.650000000000006</v>
      </c>
      <c r="M42">
        <v>-26</v>
      </c>
      <c r="N42">
        <f t="shared" si="2"/>
        <v>3.8461538461538463</v>
      </c>
      <c r="O42">
        <f t="shared" si="5"/>
        <v>8.1730769230769234</v>
      </c>
      <c r="P42">
        <f t="shared" si="6"/>
        <v>42.1875</v>
      </c>
      <c r="Q42">
        <f t="shared" si="3"/>
        <v>0.63749999999999996</v>
      </c>
      <c r="R42">
        <f t="shared" si="4"/>
        <v>41.55</v>
      </c>
      <c r="S42">
        <v>39</v>
      </c>
    </row>
    <row r="43" spans="1:19" x14ac:dyDescent="0.25">
      <c r="A43">
        <v>4</v>
      </c>
      <c r="B43">
        <v>1</v>
      </c>
      <c r="C43">
        <v>17</v>
      </c>
      <c r="D43">
        <v>52</v>
      </c>
      <c r="E43">
        <v>5000</v>
      </c>
      <c r="F43">
        <v>12.5</v>
      </c>
      <c r="G43">
        <v>5</v>
      </c>
      <c r="H43">
        <v>78</v>
      </c>
      <c r="I43">
        <v>1.2820512820512799</v>
      </c>
      <c r="J43">
        <v>6.8910256410256396</v>
      </c>
      <c r="K43">
        <v>55.5833333333333</v>
      </c>
      <c r="L43">
        <v>45.183333333333302</v>
      </c>
      <c r="M43">
        <v>10</v>
      </c>
      <c r="N43">
        <f t="shared" si="2"/>
        <v>5.1282051282051286</v>
      </c>
      <c r="O43">
        <f t="shared" si="5"/>
        <v>8.8141025641025639</v>
      </c>
      <c r="P43">
        <f t="shared" si="6"/>
        <v>56.583333333333336</v>
      </c>
      <c r="Q43">
        <f t="shared" si="3"/>
        <v>0</v>
      </c>
      <c r="R43">
        <f t="shared" si="4"/>
        <v>56.583333333333336</v>
      </c>
      <c r="S43">
        <v>52</v>
      </c>
    </row>
    <row r="44" spans="1:19" x14ac:dyDescent="0.25">
      <c r="A44">
        <v>4</v>
      </c>
      <c r="B44">
        <v>2</v>
      </c>
      <c r="C44">
        <v>18</v>
      </c>
      <c r="D44">
        <v>52</v>
      </c>
      <c r="E44">
        <v>5000</v>
      </c>
      <c r="F44">
        <v>12.5</v>
      </c>
      <c r="G44">
        <v>5</v>
      </c>
      <c r="H44">
        <v>78</v>
      </c>
      <c r="I44">
        <v>1.2820512820512799</v>
      </c>
      <c r="J44">
        <v>6.8910256410256396</v>
      </c>
      <c r="K44">
        <v>55.5833333333333</v>
      </c>
      <c r="L44">
        <v>90.366666666666603</v>
      </c>
      <c r="M44">
        <v>-34</v>
      </c>
      <c r="N44">
        <f t="shared" si="2"/>
        <v>5.1282051282051286</v>
      </c>
      <c r="O44">
        <f t="shared" si="5"/>
        <v>8.8141025641025639</v>
      </c>
      <c r="P44">
        <f t="shared" si="6"/>
        <v>56.583333333333336</v>
      </c>
      <c r="Q44">
        <f t="shared" si="3"/>
        <v>0.91666666666666718</v>
      </c>
      <c r="R44">
        <f t="shared" si="4"/>
        <v>55.666666666666671</v>
      </c>
      <c r="S44">
        <v>52</v>
      </c>
    </row>
    <row r="45" spans="1:19" x14ac:dyDescent="0.25">
      <c r="A45">
        <v>5</v>
      </c>
      <c r="B45">
        <v>1</v>
      </c>
      <c r="C45">
        <v>26</v>
      </c>
      <c r="D45">
        <v>30</v>
      </c>
      <c r="E45">
        <v>5000</v>
      </c>
      <c r="F45">
        <v>12.5</v>
      </c>
      <c r="G45">
        <v>5</v>
      </c>
      <c r="H45">
        <v>78</v>
      </c>
      <c r="I45">
        <v>1.6025641025641</v>
      </c>
      <c r="J45">
        <v>7.0512820512820502</v>
      </c>
      <c r="K45">
        <v>32.115384615384599</v>
      </c>
      <c r="L45">
        <v>26.115384615384599</v>
      </c>
      <c r="M45">
        <v>6</v>
      </c>
      <c r="N45">
        <f t="shared" si="2"/>
        <v>6.4102564102564106</v>
      </c>
      <c r="O45">
        <f t="shared" si="5"/>
        <v>9.4551282051282044</v>
      </c>
      <c r="P45">
        <f t="shared" si="6"/>
        <v>32.83653846153846</v>
      </c>
      <c r="Q45">
        <f t="shared" si="3"/>
        <v>0</v>
      </c>
      <c r="R45">
        <f t="shared" si="4"/>
        <v>32.83653846153846</v>
      </c>
      <c r="S45">
        <v>30</v>
      </c>
    </row>
    <row r="46" spans="1:19" x14ac:dyDescent="0.25">
      <c r="A46">
        <v>5</v>
      </c>
      <c r="B46">
        <v>2</v>
      </c>
      <c r="C46">
        <v>51</v>
      </c>
      <c r="D46">
        <v>30</v>
      </c>
      <c r="E46">
        <v>5000</v>
      </c>
      <c r="F46">
        <v>12.5</v>
      </c>
      <c r="G46">
        <v>5</v>
      </c>
      <c r="H46">
        <v>78</v>
      </c>
      <c r="I46">
        <v>1.6025641025641</v>
      </c>
      <c r="J46">
        <v>7.0512820512820502</v>
      </c>
      <c r="K46">
        <v>32.115384615384599</v>
      </c>
      <c r="L46">
        <v>52.230769230769198</v>
      </c>
      <c r="M46">
        <v>-20</v>
      </c>
      <c r="N46">
        <f t="shared" si="2"/>
        <v>6.4102564102564106</v>
      </c>
      <c r="O46">
        <f t="shared" si="5"/>
        <v>9.4551282051282044</v>
      </c>
      <c r="P46">
        <f t="shared" si="6"/>
        <v>32.83653846153846</v>
      </c>
      <c r="Q46">
        <f t="shared" si="3"/>
        <v>0.56730769230769196</v>
      </c>
      <c r="R46">
        <f t="shared" si="4"/>
        <v>32.269230769230766</v>
      </c>
      <c r="S46">
        <v>30</v>
      </c>
    </row>
    <row r="47" spans="1:19" x14ac:dyDescent="0.25">
      <c r="A47">
        <v>5</v>
      </c>
      <c r="B47">
        <v>3</v>
      </c>
      <c r="C47">
        <v>52</v>
      </c>
      <c r="D47">
        <v>30</v>
      </c>
      <c r="E47">
        <v>5000</v>
      </c>
      <c r="F47">
        <v>12.5</v>
      </c>
      <c r="G47">
        <v>5</v>
      </c>
      <c r="H47">
        <v>78</v>
      </c>
      <c r="I47">
        <v>1.6025641025641</v>
      </c>
      <c r="J47">
        <v>7.0512820512820502</v>
      </c>
      <c r="K47">
        <v>32.115384615384599</v>
      </c>
      <c r="L47">
        <v>78.346153846153797</v>
      </c>
      <c r="M47">
        <v>-46</v>
      </c>
      <c r="N47">
        <f t="shared" si="2"/>
        <v>6.4102564102564106</v>
      </c>
      <c r="O47">
        <f t="shared" si="5"/>
        <v>9.4551282051282044</v>
      </c>
      <c r="P47">
        <f t="shared" si="6"/>
        <v>32.83653846153846</v>
      </c>
      <c r="Q47">
        <f t="shared" si="3"/>
        <v>1.1346153846153839</v>
      </c>
      <c r="R47">
        <f t="shared" si="4"/>
        <v>31.701923076923077</v>
      </c>
      <c r="S47">
        <v>30</v>
      </c>
    </row>
    <row r="48" spans="1:19" x14ac:dyDescent="0.25">
      <c r="A48">
        <v>5</v>
      </c>
      <c r="B48">
        <v>4</v>
      </c>
      <c r="C48">
        <v>121</v>
      </c>
      <c r="D48">
        <v>30</v>
      </c>
      <c r="E48">
        <v>5000</v>
      </c>
      <c r="F48">
        <v>12.5</v>
      </c>
      <c r="G48">
        <v>5</v>
      </c>
      <c r="H48">
        <v>78</v>
      </c>
      <c r="I48">
        <v>1.6025641025641</v>
      </c>
      <c r="J48">
        <v>7.0512820512820502</v>
      </c>
      <c r="K48">
        <v>32.115384615384599</v>
      </c>
      <c r="L48">
        <v>104.461538461538</v>
      </c>
      <c r="M48">
        <v>-72</v>
      </c>
      <c r="N48">
        <f t="shared" si="2"/>
        <v>6.4102564102564106</v>
      </c>
      <c r="O48">
        <f t="shared" si="5"/>
        <v>9.4551282051282044</v>
      </c>
      <c r="P48">
        <f t="shared" si="6"/>
        <v>32.83653846153846</v>
      </c>
      <c r="Q48">
        <f t="shared" si="3"/>
        <v>1.7019230769230758</v>
      </c>
      <c r="R48">
        <f t="shared" si="4"/>
        <v>31.134615384615383</v>
      </c>
      <c r="S48">
        <v>30</v>
      </c>
    </row>
    <row r="49" spans="1:19" x14ac:dyDescent="0.25">
      <c r="A49">
        <v>5</v>
      </c>
      <c r="B49">
        <v>5</v>
      </c>
      <c r="C49">
        <v>122</v>
      </c>
      <c r="D49">
        <v>30</v>
      </c>
      <c r="E49">
        <v>5000</v>
      </c>
      <c r="F49">
        <v>12.5</v>
      </c>
      <c r="G49">
        <v>5</v>
      </c>
      <c r="H49">
        <v>78</v>
      </c>
      <c r="I49">
        <v>1.6025641025641</v>
      </c>
      <c r="J49">
        <v>7.0512820512820502</v>
      </c>
      <c r="K49">
        <v>32.115384615384599</v>
      </c>
      <c r="L49">
        <v>130.57692307692301</v>
      </c>
      <c r="M49">
        <v>-98</v>
      </c>
      <c r="N49">
        <f t="shared" si="2"/>
        <v>6.4102564102564106</v>
      </c>
      <c r="O49">
        <f t="shared" si="5"/>
        <v>9.4551282051282044</v>
      </c>
      <c r="P49">
        <f t="shared" si="6"/>
        <v>32.83653846153846</v>
      </c>
      <c r="Q49">
        <f t="shared" si="3"/>
        <v>2.2692307692307678</v>
      </c>
      <c r="R49">
        <f t="shared" si="4"/>
        <v>30.567307692307693</v>
      </c>
      <c r="S49">
        <v>30</v>
      </c>
    </row>
    <row r="50" spans="1:19" x14ac:dyDescent="0.25">
      <c r="A50">
        <v>6</v>
      </c>
      <c r="B50">
        <v>1</v>
      </c>
      <c r="C50">
        <v>28</v>
      </c>
      <c r="D50">
        <v>5</v>
      </c>
      <c r="E50">
        <v>5000</v>
      </c>
      <c r="F50">
        <v>12.5</v>
      </c>
      <c r="G50">
        <v>5</v>
      </c>
      <c r="H50">
        <v>78</v>
      </c>
      <c r="I50">
        <v>1.92307692307692</v>
      </c>
      <c r="J50">
        <v>7.2115384615384599</v>
      </c>
      <c r="K50">
        <v>5.3605769230769198</v>
      </c>
      <c r="L50">
        <v>4.3605769230769198</v>
      </c>
      <c r="M50">
        <v>1</v>
      </c>
      <c r="N50">
        <f t="shared" si="2"/>
        <v>7.6923076923076925</v>
      </c>
      <c r="O50">
        <f t="shared" si="5"/>
        <v>10.096153846153847</v>
      </c>
      <c r="P50">
        <f t="shared" si="6"/>
        <v>5.5048076923076925</v>
      </c>
      <c r="Q50">
        <f t="shared" si="3"/>
        <v>0</v>
      </c>
      <c r="R50">
        <f t="shared" si="4"/>
        <v>5.5048076923076925</v>
      </c>
      <c r="S50">
        <v>5</v>
      </c>
    </row>
    <row r="51" spans="1:19" x14ac:dyDescent="0.25">
      <c r="A51">
        <v>6</v>
      </c>
      <c r="B51">
        <v>2</v>
      </c>
      <c r="C51">
        <v>32</v>
      </c>
      <c r="D51">
        <v>5</v>
      </c>
      <c r="E51">
        <v>5000</v>
      </c>
      <c r="F51">
        <v>12.5</v>
      </c>
      <c r="G51">
        <v>5</v>
      </c>
      <c r="H51">
        <v>78</v>
      </c>
      <c r="I51">
        <v>1.92307692307692</v>
      </c>
      <c r="J51">
        <v>7.2115384615384599</v>
      </c>
      <c r="K51">
        <v>5.3605769230769198</v>
      </c>
      <c r="L51">
        <v>8.7211538461538396</v>
      </c>
      <c r="M51">
        <v>-3</v>
      </c>
      <c r="N51">
        <f t="shared" si="2"/>
        <v>7.6923076923076925</v>
      </c>
      <c r="O51">
        <f t="shared" si="5"/>
        <v>10.096153846153847</v>
      </c>
      <c r="P51">
        <f t="shared" si="6"/>
        <v>5.5048076923076925</v>
      </c>
      <c r="Q51">
        <f t="shared" si="3"/>
        <v>0.10096153846153851</v>
      </c>
      <c r="R51">
        <f t="shared" si="4"/>
        <v>5.4038461538461542</v>
      </c>
      <c r="S51">
        <v>5</v>
      </c>
    </row>
    <row r="52" spans="1:19" x14ac:dyDescent="0.25">
      <c r="A52">
        <v>6</v>
      </c>
      <c r="B52">
        <v>3</v>
      </c>
      <c r="C52">
        <v>33</v>
      </c>
      <c r="D52">
        <v>5</v>
      </c>
      <c r="E52">
        <v>5000</v>
      </c>
      <c r="F52">
        <v>12.5</v>
      </c>
      <c r="G52">
        <v>5</v>
      </c>
      <c r="H52">
        <v>78</v>
      </c>
      <c r="I52">
        <v>1.92307692307692</v>
      </c>
      <c r="J52">
        <v>7.2115384615384599</v>
      </c>
      <c r="K52">
        <v>5.3605769230769198</v>
      </c>
      <c r="L52">
        <v>13.081730769230701</v>
      </c>
      <c r="M52">
        <v>-7</v>
      </c>
      <c r="N52">
        <f t="shared" si="2"/>
        <v>7.6923076923076925</v>
      </c>
      <c r="O52">
        <f t="shared" si="5"/>
        <v>10.096153846153847</v>
      </c>
      <c r="P52">
        <f t="shared" si="6"/>
        <v>5.5048076923076925</v>
      </c>
      <c r="Q52">
        <f t="shared" si="3"/>
        <v>0.20192307692307701</v>
      </c>
      <c r="R52">
        <f t="shared" si="4"/>
        <v>5.3028846153846159</v>
      </c>
      <c r="S52">
        <v>5</v>
      </c>
    </row>
    <row r="53" spans="1:19" x14ac:dyDescent="0.25">
      <c r="A53">
        <v>6</v>
      </c>
      <c r="B53">
        <v>4</v>
      </c>
      <c r="C53">
        <v>38</v>
      </c>
      <c r="D53">
        <v>5</v>
      </c>
      <c r="E53">
        <v>5000</v>
      </c>
      <c r="F53">
        <v>12.5</v>
      </c>
      <c r="G53">
        <v>5</v>
      </c>
      <c r="H53">
        <v>78</v>
      </c>
      <c r="I53">
        <v>1.92307692307692</v>
      </c>
      <c r="J53">
        <v>7.2115384615384599</v>
      </c>
      <c r="K53">
        <v>5.3605769230769198</v>
      </c>
      <c r="L53">
        <v>17.442307692307601</v>
      </c>
      <c r="M53">
        <v>-12</v>
      </c>
      <c r="N53">
        <f t="shared" si="2"/>
        <v>7.6923076923076925</v>
      </c>
      <c r="O53">
        <f t="shared" si="5"/>
        <v>10.096153846153847</v>
      </c>
      <c r="P53">
        <f t="shared" si="6"/>
        <v>5.5048076923076925</v>
      </c>
      <c r="Q53">
        <f t="shared" si="3"/>
        <v>0.30288461538461553</v>
      </c>
      <c r="R53">
        <f t="shared" si="4"/>
        <v>5.2019230769230766</v>
      </c>
      <c r="S53">
        <v>5</v>
      </c>
    </row>
    <row r="54" spans="1:19" x14ac:dyDescent="0.25">
      <c r="A54">
        <v>6</v>
      </c>
      <c r="B54">
        <v>5</v>
      </c>
      <c r="C54">
        <v>109</v>
      </c>
      <c r="D54">
        <v>5</v>
      </c>
      <c r="E54">
        <v>5000</v>
      </c>
      <c r="F54">
        <v>12.5</v>
      </c>
      <c r="G54">
        <v>5</v>
      </c>
      <c r="H54">
        <v>78</v>
      </c>
      <c r="I54">
        <v>1.92307692307692</v>
      </c>
      <c r="J54">
        <v>7.2115384615384599</v>
      </c>
      <c r="K54">
        <v>5.3605769230769198</v>
      </c>
      <c r="L54">
        <v>21.802884615384599</v>
      </c>
      <c r="M54">
        <v>-16</v>
      </c>
      <c r="N54">
        <f t="shared" si="2"/>
        <v>7.6923076923076925</v>
      </c>
      <c r="O54">
        <f t="shared" si="5"/>
        <v>10.096153846153847</v>
      </c>
      <c r="P54">
        <f t="shared" si="6"/>
        <v>5.5048076923076925</v>
      </c>
      <c r="Q54">
        <f t="shared" si="3"/>
        <v>0.40384615384615402</v>
      </c>
      <c r="R54">
        <f t="shared" si="4"/>
        <v>5.1009615384615383</v>
      </c>
      <c r="S54">
        <v>5</v>
      </c>
    </row>
    <row r="55" spans="1:19" x14ac:dyDescent="0.25">
      <c r="A55">
        <v>6</v>
      </c>
      <c r="B55">
        <v>6</v>
      </c>
      <c r="C55">
        <v>110</v>
      </c>
      <c r="D55">
        <v>5</v>
      </c>
      <c r="E55">
        <v>5000</v>
      </c>
      <c r="F55">
        <v>12.5</v>
      </c>
      <c r="G55">
        <v>5</v>
      </c>
      <c r="H55">
        <v>78</v>
      </c>
      <c r="I55">
        <v>1.92307692307692</v>
      </c>
      <c r="J55">
        <v>7.2115384615384599</v>
      </c>
      <c r="K55">
        <v>5.3605769230769198</v>
      </c>
      <c r="L55">
        <v>26.163461538461501</v>
      </c>
      <c r="M55">
        <v>5</v>
      </c>
      <c r="N55">
        <f t="shared" si="2"/>
        <v>7.6923076923076925</v>
      </c>
      <c r="O55">
        <f t="shared" si="5"/>
        <v>10.096153846153847</v>
      </c>
      <c r="P55">
        <f t="shared" si="6"/>
        <v>5.5048076923076925</v>
      </c>
      <c r="Q55">
        <f t="shared" si="3"/>
        <v>0.50480769230769251</v>
      </c>
      <c r="R55">
        <f>P55 - Q55</f>
        <v>5</v>
      </c>
      <c r="S55">
        <v>5</v>
      </c>
    </row>
    <row r="56" spans="1:19" x14ac:dyDescent="0.25">
      <c r="A56">
        <v>6</v>
      </c>
      <c r="B56">
        <v>7</v>
      </c>
      <c r="C56">
        <v>111</v>
      </c>
      <c r="D56">
        <v>5</v>
      </c>
      <c r="E56">
        <v>5000</v>
      </c>
      <c r="F56">
        <v>12.5</v>
      </c>
      <c r="G56">
        <v>5</v>
      </c>
      <c r="H56">
        <v>78</v>
      </c>
      <c r="I56">
        <v>1.92307692307692</v>
      </c>
      <c r="J56">
        <v>7.2115384615384599</v>
      </c>
      <c r="K56">
        <v>5.3605769230769198</v>
      </c>
      <c r="L56">
        <v>30.5240384615384</v>
      </c>
      <c r="M56">
        <v>5</v>
      </c>
      <c r="N56">
        <f t="shared" si="2"/>
        <v>7.6923076923076925</v>
      </c>
      <c r="O56">
        <f t="shared" si="5"/>
        <v>10.096153846153847</v>
      </c>
      <c r="P56">
        <f t="shared" si="6"/>
        <v>5.5048076923076925</v>
      </c>
      <c r="Q56">
        <f t="shared" si="3"/>
        <v>0.60576923076923106</v>
      </c>
      <c r="R56">
        <f t="shared" si="4"/>
        <v>4.8990384615384617</v>
      </c>
      <c r="S56">
        <v>5</v>
      </c>
    </row>
    <row r="57" spans="1:19" x14ac:dyDescent="0.25">
      <c r="A57">
        <v>6</v>
      </c>
      <c r="B57">
        <v>8</v>
      </c>
      <c r="C57">
        <v>112</v>
      </c>
      <c r="D57">
        <v>5</v>
      </c>
      <c r="E57">
        <v>5000</v>
      </c>
      <c r="F57">
        <v>12.5</v>
      </c>
      <c r="G57">
        <v>5</v>
      </c>
      <c r="H57">
        <v>78</v>
      </c>
      <c r="I57">
        <v>1.92307692307692</v>
      </c>
      <c r="J57">
        <v>7.2115384615384599</v>
      </c>
      <c r="K57">
        <v>5.3605769230769198</v>
      </c>
      <c r="L57">
        <v>34.884615384615302</v>
      </c>
      <c r="M57">
        <v>5</v>
      </c>
      <c r="N57">
        <f t="shared" si="2"/>
        <v>7.6923076923076925</v>
      </c>
      <c r="O57">
        <f t="shared" si="5"/>
        <v>10.096153846153847</v>
      </c>
      <c r="P57">
        <f t="shared" si="6"/>
        <v>5.5048076923076925</v>
      </c>
      <c r="Q57">
        <f t="shared" si="3"/>
        <v>0.7067307692307695</v>
      </c>
      <c r="R57">
        <f t="shared" si="4"/>
        <v>4.7980769230769234</v>
      </c>
      <c r="S57">
        <v>5</v>
      </c>
    </row>
    <row r="58" spans="1:19" x14ac:dyDescent="0.25">
      <c r="A58">
        <v>6</v>
      </c>
      <c r="B58">
        <v>9</v>
      </c>
      <c r="C58">
        <v>113</v>
      </c>
      <c r="D58">
        <v>5</v>
      </c>
      <c r="E58">
        <v>5000</v>
      </c>
      <c r="F58">
        <v>12.5</v>
      </c>
      <c r="G58">
        <v>5</v>
      </c>
      <c r="H58">
        <v>78</v>
      </c>
      <c r="I58">
        <v>1.92307692307692</v>
      </c>
      <c r="J58">
        <v>7.2115384615384599</v>
      </c>
      <c r="K58">
        <v>5.3605769230769198</v>
      </c>
      <c r="L58">
        <v>39.245192307692299</v>
      </c>
      <c r="M58">
        <v>5</v>
      </c>
      <c r="N58">
        <f t="shared" si="2"/>
        <v>7.6923076923076925</v>
      </c>
      <c r="O58">
        <f t="shared" si="5"/>
        <v>10.096153846153847</v>
      </c>
      <c r="P58">
        <f t="shared" si="6"/>
        <v>5.5048076923076925</v>
      </c>
      <c r="Q58">
        <f t="shared" si="3"/>
        <v>0.80769230769230804</v>
      </c>
      <c r="R58">
        <f t="shared" si="4"/>
        <v>4.6971153846153841</v>
      </c>
      <c r="S58">
        <v>5</v>
      </c>
    </row>
    <row r="59" spans="1:19" x14ac:dyDescent="0.25">
      <c r="A59">
        <v>6</v>
      </c>
      <c r="B59">
        <v>10</v>
      </c>
      <c r="C59">
        <v>114</v>
      </c>
      <c r="D59">
        <v>5</v>
      </c>
      <c r="E59">
        <v>5000</v>
      </c>
      <c r="F59">
        <v>12.5</v>
      </c>
      <c r="G59">
        <v>5</v>
      </c>
      <c r="H59">
        <v>78</v>
      </c>
      <c r="I59">
        <v>1.92307692307692</v>
      </c>
      <c r="J59">
        <v>7.2115384615384599</v>
      </c>
      <c r="K59">
        <v>5.3605769230769198</v>
      </c>
      <c r="L59">
        <v>43.605769230769198</v>
      </c>
      <c r="M59">
        <v>5</v>
      </c>
      <c r="N59">
        <f t="shared" si="2"/>
        <v>7.6923076923076925</v>
      </c>
      <c r="O59">
        <f t="shared" si="5"/>
        <v>10.096153846153847</v>
      </c>
      <c r="P59">
        <f t="shared" si="6"/>
        <v>5.5048076923076925</v>
      </c>
      <c r="Q59">
        <f t="shared" si="3"/>
        <v>0.90865384615384659</v>
      </c>
      <c r="R59">
        <f t="shared" si="4"/>
        <v>4.5961538461538458</v>
      </c>
      <c r="S59">
        <v>5</v>
      </c>
    </row>
    <row r="60" spans="1:19" x14ac:dyDescent="0.25">
      <c r="A60">
        <v>6</v>
      </c>
      <c r="B60">
        <v>11</v>
      </c>
      <c r="C60">
        <v>127</v>
      </c>
      <c r="D60">
        <v>5</v>
      </c>
      <c r="E60">
        <v>5000</v>
      </c>
      <c r="F60">
        <v>12.5</v>
      </c>
      <c r="G60">
        <v>5</v>
      </c>
      <c r="H60">
        <v>78</v>
      </c>
      <c r="I60">
        <v>1.92307692307692</v>
      </c>
      <c r="J60">
        <v>7.2115384615384599</v>
      </c>
      <c r="K60">
        <v>5.3605769230769198</v>
      </c>
      <c r="L60">
        <v>47.966346153846096</v>
      </c>
      <c r="M60">
        <v>5</v>
      </c>
      <c r="N60">
        <f t="shared" si="2"/>
        <v>7.6923076923076925</v>
      </c>
      <c r="O60">
        <f t="shared" si="5"/>
        <v>10.096153846153847</v>
      </c>
      <c r="P60">
        <f t="shared" si="6"/>
        <v>5.5048076923076925</v>
      </c>
      <c r="Q60">
        <f t="shared" si="3"/>
        <v>1.009615384615385</v>
      </c>
      <c r="R60">
        <f t="shared" si="4"/>
        <v>4.4951923076923075</v>
      </c>
      <c r="S60">
        <v>5</v>
      </c>
    </row>
    <row r="61" spans="1:19" x14ac:dyDescent="0.25">
      <c r="A61">
        <v>6</v>
      </c>
      <c r="B61">
        <v>12</v>
      </c>
      <c r="C61">
        <v>128</v>
      </c>
      <c r="D61">
        <v>5</v>
      </c>
      <c r="E61">
        <v>5000</v>
      </c>
      <c r="F61">
        <v>12.5</v>
      </c>
      <c r="G61">
        <v>5</v>
      </c>
      <c r="H61">
        <v>78</v>
      </c>
      <c r="I61">
        <v>1.92307692307692</v>
      </c>
      <c r="J61">
        <v>7.2115384615384599</v>
      </c>
      <c r="K61">
        <v>5.3605769230769198</v>
      </c>
      <c r="L61">
        <v>52.326923076923002</v>
      </c>
      <c r="M61">
        <v>5</v>
      </c>
      <c r="N61">
        <f t="shared" si="2"/>
        <v>7.6923076923076925</v>
      </c>
      <c r="O61">
        <f t="shared" si="5"/>
        <v>10.096153846153847</v>
      </c>
      <c r="P61">
        <f t="shared" si="6"/>
        <v>5.5048076923076925</v>
      </c>
      <c r="Q61">
        <f t="shared" si="3"/>
        <v>1.1105769230769236</v>
      </c>
      <c r="R61">
        <f t="shared" si="4"/>
        <v>4.3942307692307692</v>
      </c>
      <c r="S61">
        <v>5</v>
      </c>
    </row>
    <row r="62" spans="1:19" x14ac:dyDescent="0.25">
      <c r="A62">
        <v>6</v>
      </c>
      <c r="B62">
        <v>13</v>
      </c>
      <c r="C62">
        <v>129</v>
      </c>
      <c r="D62">
        <v>5</v>
      </c>
      <c r="E62">
        <v>5000</v>
      </c>
      <c r="F62">
        <v>12.5</v>
      </c>
      <c r="G62">
        <v>5</v>
      </c>
      <c r="H62">
        <v>78</v>
      </c>
      <c r="I62">
        <v>1.92307692307692</v>
      </c>
      <c r="J62">
        <v>7.2115384615384599</v>
      </c>
      <c r="K62">
        <v>5.3605769230769198</v>
      </c>
      <c r="L62">
        <v>56.6875</v>
      </c>
      <c r="M62">
        <v>5</v>
      </c>
      <c r="N62">
        <f t="shared" si="2"/>
        <v>7.6923076923076925</v>
      </c>
      <c r="O62">
        <f t="shared" si="5"/>
        <v>10.096153846153847</v>
      </c>
      <c r="P62">
        <f t="shared" si="6"/>
        <v>5.5048076923076925</v>
      </c>
      <c r="Q62">
        <f t="shared" si="3"/>
        <v>1.2115384615384621</v>
      </c>
      <c r="R62">
        <f t="shared" si="4"/>
        <v>4.2932692307692299</v>
      </c>
      <c r="S62">
        <v>5</v>
      </c>
    </row>
    <row r="63" spans="1:19" x14ac:dyDescent="0.25">
      <c r="A63">
        <v>6</v>
      </c>
      <c r="B63">
        <v>14</v>
      </c>
      <c r="C63">
        <v>130</v>
      </c>
      <c r="D63">
        <v>5</v>
      </c>
      <c r="E63">
        <v>5000</v>
      </c>
      <c r="F63">
        <v>12.5</v>
      </c>
      <c r="G63">
        <v>5</v>
      </c>
      <c r="H63">
        <v>78</v>
      </c>
      <c r="I63">
        <v>1.92307692307692</v>
      </c>
      <c r="J63">
        <v>7.2115384615384599</v>
      </c>
      <c r="K63">
        <v>5.3605769230769198</v>
      </c>
      <c r="L63">
        <v>61.048076923076898</v>
      </c>
      <c r="M63">
        <v>5</v>
      </c>
      <c r="N63">
        <f t="shared" si="2"/>
        <v>7.6923076923076925</v>
      </c>
      <c r="O63">
        <f t="shared" si="5"/>
        <v>10.096153846153847</v>
      </c>
      <c r="P63">
        <f t="shared" si="6"/>
        <v>5.5048076923076925</v>
      </c>
      <c r="Q63">
        <f t="shared" si="3"/>
        <v>1.3125000000000007</v>
      </c>
      <c r="R63">
        <f t="shared" si="4"/>
        <v>4.1923076923076916</v>
      </c>
      <c r="S63">
        <v>5</v>
      </c>
    </row>
    <row r="64" spans="1:19" x14ac:dyDescent="0.25">
      <c r="A64">
        <v>7</v>
      </c>
      <c r="B64">
        <v>1</v>
      </c>
      <c r="C64">
        <v>34</v>
      </c>
      <c r="D64">
        <v>5</v>
      </c>
      <c r="E64">
        <v>5000</v>
      </c>
      <c r="F64">
        <v>12.5</v>
      </c>
      <c r="G64">
        <v>5</v>
      </c>
      <c r="H64">
        <v>78</v>
      </c>
      <c r="I64">
        <v>2.2435897435897401</v>
      </c>
      <c r="J64">
        <v>7.3717948717948696</v>
      </c>
      <c r="K64">
        <v>5.3685897435897401</v>
      </c>
      <c r="L64">
        <v>4.3685897435897401</v>
      </c>
      <c r="M64">
        <v>1</v>
      </c>
      <c r="N64">
        <f t="shared" si="2"/>
        <v>8.9743589743589745</v>
      </c>
      <c r="O64">
        <f t="shared" si="5"/>
        <v>10.737179487179487</v>
      </c>
      <c r="P64">
        <f t="shared" si="6"/>
        <v>5.5368589743589745</v>
      </c>
      <c r="Q64">
        <f t="shared" si="3"/>
        <v>0</v>
      </c>
      <c r="R64">
        <f t="shared" si="4"/>
        <v>5.5368589743589745</v>
      </c>
      <c r="S64">
        <v>5</v>
      </c>
    </row>
    <row r="65" spans="1:19" x14ac:dyDescent="0.25">
      <c r="A65">
        <v>7</v>
      </c>
      <c r="B65">
        <v>2</v>
      </c>
      <c r="C65">
        <v>35</v>
      </c>
      <c r="D65">
        <v>5</v>
      </c>
      <c r="E65">
        <v>5000</v>
      </c>
      <c r="F65">
        <v>12.5</v>
      </c>
      <c r="G65">
        <v>5</v>
      </c>
      <c r="H65">
        <v>78</v>
      </c>
      <c r="I65">
        <v>2.2435897435897401</v>
      </c>
      <c r="J65">
        <v>7.3717948717948696</v>
      </c>
      <c r="K65">
        <v>5.3685897435897401</v>
      </c>
      <c r="L65">
        <v>8.7371794871794801</v>
      </c>
      <c r="M65">
        <v>-3</v>
      </c>
      <c r="N65">
        <f t="shared" si="2"/>
        <v>8.9743589743589745</v>
      </c>
      <c r="O65">
        <f t="shared" si="5"/>
        <v>10.737179487179487</v>
      </c>
      <c r="P65">
        <f t="shared" si="6"/>
        <v>5.5368589743589745</v>
      </c>
      <c r="Q65">
        <f t="shared" si="3"/>
        <v>0.10737179487179489</v>
      </c>
      <c r="R65">
        <f t="shared" si="4"/>
        <v>5.4294871794871797</v>
      </c>
      <c r="S65">
        <v>5</v>
      </c>
    </row>
    <row r="66" spans="1:19" x14ac:dyDescent="0.25">
      <c r="A66">
        <v>7</v>
      </c>
      <c r="B66">
        <v>3</v>
      </c>
      <c r="C66">
        <v>36</v>
      </c>
      <c r="D66">
        <v>5</v>
      </c>
      <c r="E66">
        <v>5000</v>
      </c>
      <c r="F66">
        <v>12.5</v>
      </c>
      <c r="G66">
        <v>5</v>
      </c>
      <c r="H66">
        <v>78</v>
      </c>
      <c r="I66">
        <v>2.2435897435897401</v>
      </c>
      <c r="J66">
        <v>7.3717948717948696</v>
      </c>
      <c r="K66">
        <v>5.3685897435897401</v>
      </c>
      <c r="L66">
        <v>13.1057692307692</v>
      </c>
      <c r="M66">
        <v>-7</v>
      </c>
      <c r="N66">
        <f t="shared" si="2"/>
        <v>8.9743589743589745</v>
      </c>
      <c r="O66">
        <f t="shared" ref="O66:O97" si="7">(F66 + N66) / 2</f>
        <v>10.737179487179487</v>
      </c>
      <c r="P66">
        <f t="shared" ref="P66:P97" si="8">D66 + ((D66 * O66) / 100)</f>
        <v>5.5368589743589745</v>
      </c>
      <c r="Q66">
        <f t="shared" si="3"/>
        <v>0.21474358974358979</v>
      </c>
      <c r="R66">
        <f t="shared" si="4"/>
        <v>5.322115384615385</v>
      </c>
      <c r="S66">
        <v>5</v>
      </c>
    </row>
    <row r="67" spans="1:19" x14ac:dyDescent="0.25">
      <c r="A67">
        <v>7</v>
      </c>
      <c r="B67">
        <v>4</v>
      </c>
      <c r="C67">
        <v>37</v>
      </c>
      <c r="D67">
        <v>5</v>
      </c>
      <c r="E67">
        <v>5000</v>
      </c>
      <c r="F67">
        <v>12.5</v>
      </c>
      <c r="G67">
        <v>5</v>
      </c>
      <c r="H67">
        <v>78</v>
      </c>
      <c r="I67">
        <v>2.2435897435897401</v>
      </c>
      <c r="J67">
        <v>7.3717948717948696</v>
      </c>
      <c r="K67">
        <v>5.3685897435897401</v>
      </c>
      <c r="L67">
        <v>17.4743589743589</v>
      </c>
      <c r="M67">
        <v>-12</v>
      </c>
      <c r="N67">
        <f t="shared" ref="N67:N130" si="9" xml:space="preserve"> 100 * A67 / H67</f>
        <v>8.9743589743589745</v>
      </c>
      <c r="O67">
        <f t="shared" si="7"/>
        <v>10.737179487179487</v>
      </c>
      <c r="P67">
        <f t="shared" si="8"/>
        <v>5.5368589743589745</v>
      </c>
      <c r="Q67">
        <f t="shared" ref="Q67:Q130" si="10">((P67-D67) / G67) * (B67 - 1)</f>
        <v>0.32211538461538469</v>
      </c>
      <c r="R67">
        <f t="shared" ref="R67:R130" si="11">P67 - Q67</f>
        <v>5.2147435897435894</v>
      </c>
      <c r="S67">
        <v>5</v>
      </c>
    </row>
    <row r="68" spans="1:19" x14ac:dyDescent="0.25">
      <c r="A68">
        <v>7</v>
      </c>
      <c r="B68">
        <v>5</v>
      </c>
      <c r="C68">
        <v>42</v>
      </c>
      <c r="D68">
        <v>5</v>
      </c>
      <c r="E68">
        <v>5000</v>
      </c>
      <c r="F68">
        <v>12.5</v>
      </c>
      <c r="G68">
        <v>5</v>
      </c>
      <c r="H68">
        <v>78</v>
      </c>
      <c r="I68">
        <v>2.2435897435897401</v>
      </c>
      <c r="J68">
        <v>7.3717948717948696</v>
      </c>
      <c r="K68">
        <v>5.3685897435897401</v>
      </c>
      <c r="L68">
        <v>21.842948717948701</v>
      </c>
      <c r="M68">
        <v>-16</v>
      </c>
      <c r="N68">
        <f t="shared" si="9"/>
        <v>8.9743589743589745</v>
      </c>
      <c r="O68">
        <f t="shared" si="7"/>
        <v>10.737179487179487</v>
      </c>
      <c r="P68">
        <f t="shared" si="8"/>
        <v>5.5368589743589745</v>
      </c>
      <c r="Q68">
        <f t="shared" si="10"/>
        <v>0.42948717948717957</v>
      </c>
      <c r="R68">
        <f t="shared" si="11"/>
        <v>5.1073717948717947</v>
      </c>
      <c r="S68">
        <v>5</v>
      </c>
    </row>
    <row r="69" spans="1:19" x14ac:dyDescent="0.25">
      <c r="A69">
        <v>7</v>
      </c>
      <c r="B69">
        <v>6</v>
      </c>
      <c r="C69">
        <v>47</v>
      </c>
      <c r="D69">
        <v>5</v>
      </c>
      <c r="E69">
        <v>5000</v>
      </c>
      <c r="F69">
        <v>12.5</v>
      </c>
      <c r="G69">
        <v>5</v>
      </c>
      <c r="H69">
        <v>78</v>
      </c>
      <c r="I69">
        <v>2.2435897435897401</v>
      </c>
      <c r="J69">
        <v>7.3717948717948696</v>
      </c>
      <c r="K69">
        <v>5.3685897435897401</v>
      </c>
      <c r="L69">
        <v>26.2115384615384</v>
      </c>
      <c r="M69">
        <v>5</v>
      </c>
      <c r="N69">
        <f t="shared" si="9"/>
        <v>8.9743589743589745</v>
      </c>
      <c r="O69">
        <f t="shared" si="7"/>
        <v>10.737179487179487</v>
      </c>
      <c r="P69">
        <f t="shared" si="8"/>
        <v>5.5368589743589745</v>
      </c>
      <c r="Q69">
        <f t="shared" si="10"/>
        <v>0.53685897435897445</v>
      </c>
      <c r="R69">
        <f t="shared" si="11"/>
        <v>5</v>
      </c>
      <c r="S69">
        <v>5</v>
      </c>
    </row>
    <row r="70" spans="1:19" x14ac:dyDescent="0.25">
      <c r="A70">
        <v>7</v>
      </c>
      <c r="B70">
        <v>7</v>
      </c>
      <c r="C70">
        <v>48</v>
      </c>
      <c r="D70">
        <v>5</v>
      </c>
      <c r="E70">
        <v>5000</v>
      </c>
      <c r="F70">
        <v>12.5</v>
      </c>
      <c r="G70">
        <v>5</v>
      </c>
      <c r="H70">
        <v>78</v>
      </c>
      <c r="I70">
        <v>2.2435897435897401</v>
      </c>
      <c r="J70">
        <v>7.3717948717948696</v>
      </c>
      <c r="K70">
        <v>5.3685897435897401</v>
      </c>
      <c r="L70">
        <v>30.580128205128201</v>
      </c>
      <c r="M70">
        <v>5</v>
      </c>
      <c r="N70">
        <f t="shared" si="9"/>
        <v>8.9743589743589745</v>
      </c>
      <c r="O70">
        <f t="shared" si="7"/>
        <v>10.737179487179487</v>
      </c>
      <c r="P70">
        <f t="shared" si="8"/>
        <v>5.5368589743589745</v>
      </c>
      <c r="Q70">
        <f t="shared" si="10"/>
        <v>0.64423076923076938</v>
      </c>
      <c r="R70">
        <f t="shared" si="11"/>
        <v>4.8926282051282053</v>
      </c>
      <c r="S70">
        <v>5</v>
      </c>
    </row>
    <row r="71" spans="1:19" x14ac:dyDescent="0.25">
      <c r="A71">
        <v>7</v>
      </c>
      <c r="B71">
        <v>8</v>
      </c>
      <c r="C71">
        <v>49</v>
      </c>
      <c r="D71">
        <v>5</v>
      </c>
      <c r="E71">
        <v>5000</v>
      </c>
      <c r="F71">
        <v>12.5</v>
      </c>
      <c r="G71">
        <v>5</v>
      </c>
      <c r="H71">
        <v>78</v>
      </c>
      <c r="I71">
        <v>2.2435897435897401</v>
      </c>
      <c r="J71">
        <v>7.3717948717948696</v>
      </c>
      <c r="K71">
        <v>5.3685897435897401</v>
      </c>
      <c r="L71">
        <v>34.948717948717899</v>
      </c>
      <c r="M71">
        <v>5</v>
      </c>
      <c r="N71">
        <f t="shared" si="9"/>
        <v>8.9743589743589745</v>
      </c>
      <c r="O71">
        <f t="shared" si="7"/>
        <v>10.737179487179487</v>
      </c>
      <c r="P71">
        <f t="shared" si="8"/>
        <v>5.5368589743589745</v>
      </c>
      <c r="Q71">
        <f t="shared" si="10"/>
        <v>0.75160256410256421</v>
      </c>
      <c r="R71">
        <f t="shared" si="11"/>
        <v>4.7852564102564106</v>
      </c>
      <c r="S71">
        <v>5</v>
      </c>
    </row>
    <row r="72" spans="1:19" x14ac:dyDescent="0.25">
      <c r="A72">
        <v>7</v>
      </c>
      <c r="B72">
        <v>9</v>
      </c>
      <c r="C72">
        <v>50</v>
      </c>
      <c r="D72">
        <v>5</v>
      </c>
      <c r="E72">
        <v>5000</v>
      </c>
      <c r="F72">
        <v>12.5</v>
      </c>
      <c r="G72">
        <v>5</v>
      </c>
      <c r="H72">
        <v>78</v>
      </c>
      <c r="I72">
        <v>2.2435897435897401</v>
      </c>
      <c r="J72">
        <v>7.3717948717948696</v>
      </c>
      <c r="K72">
        <v>5.3685897435897401</v>
      </c>
      <c r="L72">
        <v>39.317307692307601</v>
      </c>
      <c r="M72">
        <v>5</v>
      </c>
      <c r="N72">
        <f t="shared" si="9"/>
        <v>8.9743589743589745</v>
      </c>
      <c r="O72">
        <f t="shared" si="7"/>
        <v>10.737179487179487</v>
      </c>
      <c r="P72">
        <f t="shared" si="8"/>
        <v>5.5368589743589745</v>
      </c>
      <c r="Q72">
        <f t="shared" si="10"/>
        <v>0.85897435897435914</v>
      </c>
      <c r="R72">
        <f t="shared" si="11"/>
        <v>4.677884615384615</v>
      </c>
      <c r="S72">
        <v>5</v>
      </c>
    </row>
    <row r="73" spans="1:19" x14ac:dyDescent="0.25">
      <c r="A73">
        <v>7</v>
      </c>
      <c r="B73">
        <v>10</v>
      </c>
      <c r="C73">
        <v>115</v>
      </c>
      <c r="D73">
        <v>5</v>
      </c>
      <c r="E73">
        <v>5000</v>
      </c>
      <c r="F73">
        <v>12.5</v>
      </c>
      <c r="G73">
        <v>5</v>
      </c>
      <c r="H73">
        <v>78</v>
      </c>
      <c r="I73">
        <v>2.2435897435897401</v>
      </c>
      <c r="J73">
        <v>7.3717948717948696</v>
      </c>
      <c r="K73">
        <v>5.3685897435897401</v>
      </c>
      <c r="L73">
        <v>43.685897435897402</v>
      </c>
      <c r="M73">
        <v>5</v>
      </c>
      <c r="N73">
        <f t="shared" si="9"/>
        <v>8.9743589743589745</v>
      </c>
      <c r="O73">
        <f t="shared" si="7"/>
        <v>10.737179487179487</v>
      </c>
      <c r="P73">
        <f t="shared" si="8"/>
        <v>5.5368589743589745</v>
      </c>
      <c r="Q73">
        <f t="shared" si="10"/>
        <v>0.96634615384615408</v>
      </c>
      <c r="R73">
        <f t="shared" si="11"/>
        <v>4.5705128205128203</v>
      </c>
      <c r="S73">
        <v>5</v>
      </c>
    </row>
    <row r="74" spans="1:19" x14ac:dyDescent="0.25">
      <c r="A74">
        <v>7</v>
      </c>
      <c r="B74">
        <v>11</v>
      </c>
      <c r="C74">
        <v>116</v>
      </c>
      <c r="D74">
        <v>5</v>
      </c>
      <c r="E74">
        <v>5000</v>
      </c>
      <c r="F74">
        <v>12.5</v>
      </c>
      <c r="G74">
        <v>5</v>
      </c>
      <c r="H74">
        <v>78</v>
      </c>
      <c r="I74">
        <v>2.2435897435897401</v>
      </c>
      <c r="J74">
        <v>7.3717948717948696</v>
      </c>
      <c r="K74">
        <v>5.3685897435897401</v>
      </c>
      <c r="L74">
        <v>48.054487179487097</v>
      </c>
      <c r="M74">
        <v>5</v>
      </c>
      <c r="N74">
        <f t="shared" si="9"/>
        <v>8.9743589743589745</v>
      </c>
      <c r="O74">
        <f t="shared" si="7"/>
        <v>10.737179487179487</v>
      </c>
      <c r="P74">
        <f t="shared" si="8"/>
        <v>5.5368589743589745</v>
      </c>
      <c r="Q74">
        <f t="shared" si="10"/>
        <v>1.0737179487179489</v>
      </c>
      <c r="R74">
        <f t="shared" si="11"/>
        <v>4.4631410256410255</v>
      </c>
      <c r="S74">
        <v>5</v>
      </c>
    </row>
    <row r="75" spans="1:19" x14ac:dyDescent="0.25">
      <c r="A75">
        <v>7</v>
      </c>
      <c r="B75">
        <v>12</v>
      </c>
      <c r="C75">
        <v>117</v>
      </c>
      <c r="D75">
        <v>5</v>
      </c>
      <c r="E75">
        <v>5000</v>
      </c>
      <c r="F75">
        <v>12.5</v>
      </c>
      <c r="G75">
        <v>5</v>
      </c>
      <c r="H75">
        <v>78</v>
      </c>
      <c r="I75">
        <v>2.2435897435897401</v>
      </c>
      <c r="J75">
        <v>7.3717948717948696</v>
      </c>
      <c r="K75">
        <v>5.3685897435897401</v>
      </c>
      <c r="L75">
        <v>52.423076923076898</v>
      </c>
      <c r="M75">
        <v>5</v>
      </c>
      <c r="N75">
        <f t="shared" si="9"/>
        <v>8.9743589743589745</v>
      </c>
      <c r="O75">
        <f t="shared" si="7"/>
        <v>10.737179487179487</v>
      </c>
      <c r="P75">
        <f t="shared" si="8"/>
        <v>5.5368589743589745</v>
      </c>
      <c r="Q75">
        <f t="shared" si="10"/>
        <v>1.1810897435897438</v>
      </c>
      <c r="R75">
        <f t="shared" si="11"/>
        <v>4.3557692307692308</v>
      </c>
      <c r="S75">
        <v>5</v>
      </c>
    </row>
    <row r="76" spans="1:19" x14ac:dyDescent="0.25">
      <c r="A76">
        <v>7</v>
      </c>
      <c r="B76">
        <v>13</v>
      </c>
      <c r="C76">
        <v>118</v>
      </c>
      <c r="D76">
        <v>5</v>
      </c>
      <c r="E76">
        <v>5000</v>
      </c>
      <c r="F76">
        <v>12.5</v>
      </c>
      <c r="G76">
        <v>5</v>
      </c>
      <c r="H76">
        <v>78</v>
      </c>
      <c r="I76">
        <v>2.2435897435897401</v>
      </c>
      <c r="J76">
        <v>7.3717948717948696</v>
      </c>
      <c r="K76">
        <v>5.3685897435897401</v>
      </c>
      <c r="L76">
        <v>56.7916666666666</v>
      </c>
      <c r="M76">
        <v>5</v>
      </c>
      <c r="N76">
        <f t="shared" si="9"/>
        <v>8.9743589743589745</v>
      </c>
      <c r="O76">
        <f t="shared" si="7"/>
        <v>10.737179487179487</v>
      </c>
      <c r="P76">
        <f t="shared" si="8"/>
        <v>5.5368589743589745</v>
      </c>
      <c r="Q76">
        <f t="shared" si="10"/>
        <v>1.2884615384615388</v>
      </c>
      <c r="R76">
        <f t="shared" si="11"/>
        <v>4.2483974358974361</v>
      </c>
      <c r="S76">
        <v>5</v>
      </c>
    </row>
    <row r="77" spans="1:19" x14ac:dyDescent="0.25">
      <c r="A77">
        <v>7</v>
      </c>
      <c r="B77">
        <v>14</v>
      </c>
      <c r="C77">
        <v>119</v>
      </c>
      <c r="D77">
        <v>5</v>
      </c>
      <c r="E77">
        <v>5000</v>
      </c>
      <c r="F77">
        <v>12.5</v>
      </c>
      <c r="G77">
        <v>5</v>
      </c>
      <c r="H77">
        <v>78</v>
      </c>
      <c r="I77">
        <v>2.2435897435897401</v>
      </c>
      <c r="J77">
        <v>7.3717948717948696</v>
      </c>
      <c r="K77">
        <v>5.3685897435897401</v>
      </c>
      <c r="L77">
        <v>61.160256410256402</v>
      </c>
      <c r="M77">
        <v>5</v>
      </c>
      <c r="N77">
        <f t="shared" si="9"/>
        <v>8.9743589743589745</v>
      </c>
      <c r="O77">
        <f t="shared" si="7"/>
        <v>10.737179487179487</v>
      </c>
      <c r="P77">
        <f t="shared" si="8"/>
        <v>5.5368589743589745</v>
      </c>
      <c r="Q77">
        <f t="shared" si="10"/>
        <v>1.3958333333333337</v>
      </c>
      <c r="R77">
        <f t="shared" si="11"/>
        <v>4.1410256410256405</v>
      </c>
      <c r="S77">
        <v>5</v>
      </c>
    </row>
    <row r="78" spans="1:19" x14ac:dyDescent="0.25">
      <c r="A78">
        <v>8</v>
      </c>
      <c r="B78">
        <v>1</v>
      </c>
      <c r="C78">
        <v>54</v>
      </c>
      <c r="D78">
        <v>45</v>
      </c>
      <c r="E78">
        <v>5000</v>
      </c>
      <c r="F78">
        <v>12.5</v>
      </c>
      <c r="G78">
        <v>5</v>
      </c>
      <c r="H78">
        <v>78</v>
      </c>
      <c r="I78">
        <v>2.5641025641025599</v>
      </c>
      <c r="J78">
        <v>7.5320512820512802</v>
      </c>
      <c r="K78">
        <v>48.389423076923002</v>
      </c>
      <c r="L78">
        <v>39.389423076923002</v>
      </c>
      <c r="M78">
        <v>9</v>
      </c>
      <c r="N78">
        <f t="shared" si="9"/>
        <v>10.256410256410257</v>
      </c>
      <c r="O78">
        <f t="shared" si="7"/>
        <v>11.378205128205128</v>
      </c>
      <c r="P78">
        <f t="shared" si="8"/>
        <v>50.120192307692307</v>
      </c>
      <c r="Q78">
        <f t="shared" si="10"/>
        <v>0</v>
      </c>
      <c r="R78">
        <f t="shared" si="11"/>
        <v>50.120192307692307</v>
      </c>
      <c r="S78">
        <v>45</v>
      </c>
    </row>
    <row r="79" spans="1:19" x14ac:dyDescent="0.25">
      <c r="A79">
        <v>8</v>
      </c>
      <c r="B79">
        <v>2</v>
      </c>
      <c r="C79">
        <v>59</v>
      </c>
      <c r="D79">
        <v>45</v>
      </c>
      <c r="E79">
        <v>5000</v>
      </c>
      <c r="F79">
        <v>12.5</v>
      </c>
      <c r="G79">
        <v>5</v>
      </c>
      <c r="H79">
        <v>78</v>
      </c>
      <c r="I79">
        <v>2.5641025641025599</v>
      </c>
      <c r="J79">
        <v>7.5320512820512802</v>
      </c>
      <c r="K79">
        <v>48.389423076923002</v>
      </c>
      <c r="L79">
        <v>78.778846153846104</v>
      </c>
      <c r="M79">
        <v>-30</v>
      </c>
      <c r="N79">
        <f t="shared" si="9"/>
        <v>10.256410256410257</v>
      </c>
      <c r="O79">
        <f t="shared" si="7"/>
        <v>11.378205128205128</v>
      </c>
      <c r="P79">
        <f t="shared" si="8"/>
        <v>50.120192307692307</v>
      </c>
      <c r="Q79">
        <f t="shared" si="10"/>
        <v>1.0240384615384612</v>
      </c>
      <c r="R79">
        <f t="shared" si="11"/>
        <v>49.096153846153847</v>
      </c>
      <c r="S79">
        <v>45</v>
      </c>
    </row>
    <row r="80" spans="1:19" x14ac:dyDescent="0.25">
      <c r="A80">
        <v>8</v>
      </c>
      <c r="B80">
        <v>3</v>
      </c>
      <c r="C80">
        <v>60</v>
      </c>
      <c r="D80">
        <v>45</v>
      </c>
      <c r="E80">
        <v>5000</v>
      </c>
      <c r="F80">
        <v>12.5</v>
      </c>
      <c r="G80">
        <v>5</v>
      </c>
      <c r="H80">
        <v>78</v>
      </c>
      <c r="I80">
        <v>2.5641025641025599</v>
      </c>
      <c r="J80">
        <v>7.5320512820512802</v>
      </c>
      <c r="K80">
        <v>48.389423076923002</v>
      </c>
      <c r="L80">
        <v>118.168269230769</v>
      </c>
      <c r="M80">
        <v>-69</v>
      </c>
      <c r="N80">
        <f t="shared" si="9"/>
        <v>10.256410256410257</v>
      </c>
      <c r="O80">
        <f t="shared" si="7"/>
        <v>11.378205128205128</v>
      </c>
      <c r="P80">
        <f t="shared" si="8"/>
        <v>50.120192307692307</v>
      </c>
      <c r="Q80">
        <f t="shared" si="10"/>
        <v>2.0480769230769225</v>
      </c>
      <c r="R80">
        <f t="shared" si="11"/>
        <v>48.072115384615387</v>
      </c>
      <c r="S80">
        <v>45</v>
      </c>
    </row>
    <row r="81" spans="1:19" x14ac:dyDescent="0.25">
      <c r="A81">
        <v>8</v>
      </c>
      <c r="B81">
        <v>4</v>
      </c>
      <c r="C81">
        <v>65</v>
      </c>
      <c r="D81">
        <v>45</v>
      </c>
      <c r="E81">
        <v>5000</v>
      </c>
      <c r="F81">
        <v>12.5</v>
      </c>
      <c r="G81">
        <v>5</v>
      </c>
      <c r="H81">
        <v>78</v>
      </c>
      <c r="I81">
        <v>2.5641025641025599</v>
      </c>
      <c r="J81">
        <v>7.5320512820512802</v>
      </c>
      <c r="K81">
        <v>48.389423076923002</v>
      </c>
      <c r="L81">
        <v>157.55769230769201</v>
      </c>
      <c r="M81">
        <v>-109</v>
      </c>
      <c r="N81">
        <f t="shared" si="9"/>
        <v>10.256410256410257</v>
      </c>
      <c r="O81">
        <f t="shared" si="7"/>
        <v>11.378205128205128</v>
      </c>
      <c r="P81">
        <f t="shared" si="8"/>
        <v>50.120192307692307</v>
      </c>
      <c r="Q81">
        <f t="shared" si="10"/>
        <v>3.0721153846153837</v>
      </c>
      <c r="R81">
        <f t="shared" si="11"/>
        <v>47.04807692307692</v>
      </c>
      <c r="S81">
        <v>45</v>
      </c>
    </row>
    <row r="82" spans="1:19" x14ac:dyDescent="0.25">
      <c r="A82">
        <v>8</v>
      </c>
      <c r="B82">
        <v>5</v>
      </c>
      <c r="C82">
        <v>67</v>
      </c>
      <c r="D82">
        <v>45</v>
      </c>
      <c r="E82">
        <v>5000</v>
      </c>
      <c r="F82">
        <v>12.5</v>
      </c>
      <c r="G82">
        <v>5</v>
      </c>
      <c r="H82">
        <v>78</v>
      </c>
      <c r="I82">
        <v>2.5641025641025599</v>
      </c>
      <c r="J82">
        <v>7.5320512820512802</v>
      </c>
      <c r="K82">
        <v>48.389423076923002</v>
      </c>
      <c r="L82">
        <v>196.94711538461499</v>
      </c>
      <c r="M82">
        <v>-148</v>
      </c>
      <c r="N82">
        <f t="shared" si="9"/>
        <v>10.256410256410257</v>
      </c>
      <c r="O82">
        <f t="shared" si="7"/>
        <v>11.378205128205128</v>
      </c>
      <c r="P82">
        <f t="shared" si="8"/>
        <v>50.120192307692307</v>
      </c>
      <c r="Q82">
        <f t="shared" si="10"/>
        <v>4.0961538461538449</v>
      </c>
      <c r="R82">
        <f t="shared" si="11"/>
        <v>46.02403846153846</v>
      </c>
      <c r="S82">
        <v>45</v>
      </c>
    </row>
    <row r="83" spans="1:19" x14ac:dyDescent="0.25">
      <c r="A83">
        <v>8</v>
      </c>
      <c r="B83">
        <v>6</v>
      </c>
      <c r="C83">
        <v>68</v>
      </c>
      <c r="D83">
        <v>45</v>
      </c>
      <c r="E83">
        <v>5000</v>
      </c>
      <c r="F83">
        <v>12.5</v>
      </c>
      <c r="G83">
        <v>5</v>
      </c>
      <c r="H83">
        <v>78</v>
      </c>
      <c r="I83">
        <v>2.5641025641025599</v>
      </c>
      <c r="J83">
        <v>7.5320512820512802</v>
      </c>
      <c r="K83">
        <v>48.389423076923002</v>
      </c>
      <c r="L83">
        <v>236.336538461538</v>
      </c>
      <c r="M83">
        <v>45</v>
      </c>
      <c r="N83">
        <f t="shared" si="9"/>
        <v>10.256410256410257</v>
      </c>
      <c r="O83">
        <f t="shared" si="7"/>
        <v>11.378205128205128</v>
      </c>
      <c r="P83">
        <f t="shared" si="8"/>
        <v>50.120192307692307</v>
      </c>
      <c r="Q83">
        <f t="shared" si="10"/>
        <v>5.1201923076923066</v>
      </c>
      <c r="R83">
        <f t="shared" si="11"/>
        <v>45</v>
      </c>
      <c r="S83">
        <v>45</v>
      </c>
    </row>
    <row r="84" spans="1:19" x14ac:dyDescent="0.25">
      <c r="A84">
        <v>8</v>
      </c>
      <c r="B84">
        <v>7</v>
      </c>
      <c r="C84">
        <v>71</v>
      </c>
      <c r="D84">
        <v>45</v>
      </c>
      <c r="E84">
        <v>5000</v>
      </c>
      <c r="F84">
        <v>12.5</v>
      </c>
      <c r="G84">
        <v>5</v>
      </c>
      <c r="H84">
        <v>78</v>
      </c>
      <c r="I84">
        <v>2.5641025641025599</v>
      </c>
      <c r="J84">
        <v>7.5320512820512802</v>
      </c>
      <c r="K84">
        <v>48.389423076923002</v>
      </c>
      <c r="L84">
        <v>275.72596153846098</v>
      </c>
      <c r="M84">
        <v>45</v>
      </c>
      <c r="N84">
        <f t="shared" si="9"/>
        <v>10.256410256410257</v>
      </c>
      <c r="O84">
        <f t="shared" si="7"/>
        <v>11.378205128205128</v>
      </c>
      <c r="P84">
        <f t="shared" si="8"/>
        <v>50.120192307692307</v>
      </c>
      <c r="Q84">
        <f t="shared" si="10"/>
        <v>6.1442307692307674</v>
      </c>
      <c r="R84">
        <f t="shared" si="11"/>
        <v>43.97596153846154</v>
      </c>
      <c r="S84">
        <v>45</v>
      </c>
    </row>
    <row r="85" spans="1:19" x14ac:dyDescent="0.25">
      <c r="A85">
        <v>8</v>
      </c>
      <c r="B85">
        <v>8</v>
      </c>
      <c r="C85">
        <v>74</v>
      </c>
      <c r="D85">
        <v>45</v>
      </c>
      <c r="E85">
        <v>5000</v>
      </c>
      <c r="F85">
        <v>12.5</v>
      </c>
      <c r="G85">
        <v>5</v>
      </c>
      <c r="H85">
        <v>78</v>
      </c>
      <c r="I85">
        <v>2.5641025641025599</v>
      </c>
      <c r="J85">
        <v>7.5320512820512802</v>
      </c>
      <c r="K85">
        <v>48.389423076923002</v>
      </c>
      <c r="L85">
        <v>315.11538461538402</v>
      </c>
      <c r="M85">
        <v>45</v>
      </c>
      <c r="N85">
        <f t="shared" si="9"/>
        <v>10.256410256410257</v>
      </c>
      <c r="O85">
        <f t="shared" si="7"/>
        <v>11.378205128205128</v>
      </c>
      <c r="P85">
        <f t="shared" si="8"/>
        <v>50.120192307692307</v>
      </c>
      <c r="Q85">
        <f t="shared" si="10"/>
        <v>7.1682692307692282</v>
      </c>
      <c r="R85">
        <f t="shared" si="11"/>
        <v>42.95192307692308</v>
      </c>
      <c r="S85">
        <v>45</v>
      </c>
    </row>
    <row r="86" spans="1:19" x14ac:dyDescent="0.25">
      <c r="A86">
        <v>8</v>
      </c>
      <c r="B86">
        <v>9</v>
      </c>
      <c r="C86">
        <v>75</v>
      </c>
      <c r="D86">
        <v>45</v>
      </c>
      <c r="E86">
        <v>5000</v>
      </c>
      <c r="F86">
        <v>12.5</v>
      </c>
      <c r="G86">
        <v>5</v>
      </c>
      <c r="H86">
        <v>78</v>
      </c>
      <c r="I86">
        <v>2.5641025641025599</v>
      </c>
      <c r="J86">
        <v>7.5320512820512802</v>
      </c>
      <c r="K86">
        <v>48.389423076923002</v>
      </c>
      <c r="L86">
        <v>354.504807692307</v>
      </c>
      <c r="M86">
        <v>45</v>
      </c>
      <c r="N86">
        <f t="shared" si="9"/>
        <v>10.256410256410257</v>
      </c>
      <c r="O86">
        <f t="shared" si="7"/>
        <v>11.378205128205128</v>
      </c>
      <c r="P86">
        <f t="shared" si="8"/>
        <v>50.120192307692307</v>
      </c>
      <c r="Q86">
        <f t="shared" si="10"/>
        <v>8.1923076923076898</v>
      </c>
      <c r="R86">
        <f t="shared" si="11"/>
        <v>41.927884615384613</v>
      </c>
      <c r="S86">
        <v>45</v>
      </c>
    </row>
    <row r="87" spans="1:19" x14ac:dyDescent="0.25">
      <c r="A87">
        <v>8</v>
      </c>
      <c r="B87">
        <v>10</v>
      </c>
      <c r="C87">
        <v>80</v>
      </c>
      <c r="D87">
        <v>45</v>
      </c>
      <c r="E87">
        <v>5000</v>
      </c>
      <c r="F87">
        <v>12.5</v>
      </c>
      <c r="G87">
        <v>5</v>
      </c>
      <c r="H87">
        <v>78</v>
      </c>
      <c r="I87">
        <v>2.5641025641025599</v>
      </c>
      <c r="J87">
        <v>7.5320512820512802</v>
      </c>
      <c r="K87">
        <v>48.389423076923002</v>
      </c>
      <c r="L87">
        <v>393.89423076922998</v>
      </c>
      <c r="M87">
        <v>45</v>
      </c>
      <c r="N87">
        <f t="shared" si="9"/>
        <v>10.256410256410257</v>
      </c>
      <c r="O87">
        <f t="shared" si="7"/>
        <v>11.378205128205128</v>
      </c>
      <c r="P87">
        <f t="shared" si="8"/>
        <v>50.120192307692307</v>
      </c>
      <c r="Q87">
        <f t="shared" si="10"/>
        <v>9.2163461538461515</v>
      </c>
      <c r="R87">
        <f t="shared" si="11"/>
        <v>40.903846153846153</v>
      </c>
      <c r="S87">
        <v>45</v>
      </c>
    </row>
    <row r="88" spans="1:19" x14ac:dyDescent="0.25">
      <c r="A88">
        <v>8</v>
      </c>
      <c r="B88">
        <v>11</v>
      </c>
      <c r="C88">
        <v>82</v>
      </c>
      <c r="D88">
        <v>45</v>
      </c>
      <c r="E88">
        <v>5000</v>
      </c>
      <c r="F88">
        <v>12.5</v>
      </c>
      <c r="G88">
        <v>5</v>
      </c>
      <c r="H88">
        <v>78</v>
      </c>
      <c r="I88">
        <v>2.5641025641025599</v>
      </c>
      <c r="J88">
        <v>7.5320512820512802</v>
      </c>
      <c r="K88">
        <v>48.389423076923002</v>
      </c>
      <c r="L88">
        <v>433.28365384615302</v>
      </c>
      <c r="M88">
        <v>45</v>
      </c>
      <c r="N88">
        <f t="shared" si="9"/>
        <v>10.256410256410257</v>
      </c>
      <c r="O88">
        <f t="shared" si="7"/>
        <v>11.378205128205128</v>
      </c>
      <c r="P88">
        <f t="shared" si="8"/>
        <v>50.120192307692307</v>
      </c>
      <c r="Q88">
        <f t="shared" si="10"/>
        <v>10.240384615384613</v>
      </c>
      <c r="R88">
        <f t="shared" si="11"/>
        <v>39.879807692307693</v>
      </c>
      <c r="S88">
        <v>45</v>
      </c>
    </row>
    <row r="89" spans="1:19" x14ac:dyDescent="0.25">
      <c r="A89">
        <v>8</v>
      </c>
      <c r="B89">
        <v>12</v>
      </c>
      <c r="C89">
        <v>83</v>
      </c>
      <c r="D89">
        <v>45</v>
      </c>
      <c r="E89">
        <v>5000</v>
      </c>
      <c r="F89">
        <v>12.5</v>
      </c>
      <c r="G89">
        <v>5</v>
      </c>
      <c r="H89">
        <v>78</v>
      </c>
      <c r="I89">
        <v>2.5641025641025599</v>
      </c>
      <c r="J89">
        <v>7.5320512820512802</v>
      </c>
      <c r="K89">
        <v>48.389423076923002</v>
      </c>
      <c r="L89">
        <v>472.673076923076</v>
      </c>
      <c r="M89">
        <v>45</v>
      </c>
      <c r="N89">
        <f t="shared" si="9"/>
        <v>10.256410256410257</v>
      </c>
      <c r="O89">
        <f t="shared" si="7"/>
        <v>11.378205128205128</v>
      </c>
      <c r="P89">
        <f t="shared" si="8"/>
        <v>50.120192307692307</v>
      </c>
      <c r="Q89">
        <f t="shared" si="10"/>
        <v>11.264423076923073</v>
      </c>
      <c r="R89">
        <f t="shared" si="11"/>
        <v>38.855769230769234</v>
      </c>
      <c r="S89">
        <v>45</v>
      </c>
    </row>
    <row r="90" spans="1:19" x14ac:dyDescent="0.25">
      <c r="A90">
        <v>8</v>
      </c>
      <c r="B90">
        <v>13</v>
      </c>
      <c r="C90">
        <v>86</v>
      </c>
      <c r="D90">
        <v>45</v>
      </c>
      <c r="E90">
        <v>5000</v>
      </c>
      <c r="F90">
        <v>12.5</v>
      </c>
      <c r="G90">
        <v>5</v>
      </c>
      <c r="H90">
        <v>78</v>
      </c>
      <c r="I90">
        <v>2.5641025641025599</v>
      </c>
      <c r="J90">
        <v>7.5320512820512802</v>
      </c>
      <c r="K90">
        <v>48.389423076923002</v>
      </c>
      <c r="L90">
        <v>512.0625</v>
      </c>
      <c r="M90">
        <v>45</v>
      </c>
      <c r="N90">
        <f t="shared" si="9"/>
        <v>10.256410256410257</v>
      </c>
      <c r="O90">
        <f t="shared" si="7"/>
        <v>11.378205128205128</v>
      </c>
      <c r="P90">
        <f t="shared" si="8"/>
        <v>50.120192307692307</v>
      </c>
      <c r="Q90">
        <f t="shared" si="10"/>
        <v>12.288461538461535</v>
      </c>
      <c r="R90">
        <f t="shared" si="11"/>
        <v>37.831730769230774</v>
      </c>
      <c r="S90">
        <v>45</v>
      </c>
    </row>
    <row r="91" spans="1:19" x14ac:dyDescent="0.25">
      <c r="A91">
        <v>8</v>
      </c>
      <c r="B91">
        <v>14</v>
      </c>
      <c r="C91">
        <v>89</v>
      </c>
      <c r="D91">
        <v>45</v>
      </c>
      <c r="E91">
        <v>5000</v>
      </c>
      <c r="F91">
        <v>12.5</v>
      </c>
      <c r="G91">
        <v>5</v>
      </c>
      <c r="H91">
        <v>78</v>
      </c>
      <c r="I91">
        <v>2.5641025641025599</v>
      </c>
      <c r="J91">
        <v>7.5320512820512802</v>
      </c>
      <c r="K91">
        <v>48.389423076923002</v>
      </c>
      <c r="L91">
        <v>551.45192307692298</v>
      </c>
      <c r="M91">
        <v>45</v>
      </c>
      <c r="N91">
        <f t="shared" si="9"/>
        <v>10.256410256410257</v>
      </c>
      <c r="O91">
        <f t="shared" si="7"/>
        <v>11.378205128205128</v>
      </c>
      <c r="P91">
        <f t="shared" si="8"/>
        <v>50.120192307692307</v>
      </c>
      <c r="Q91">
        <f t="shared" si="10"/>
        <v>13.312499999999996</v>
      </c>
      <c r="R91">
        <f t="shared" si="11"/>
        <v>36.807692307692307</v>
      </c>
      <c r="S91">
        <v>45</v>
      </c>
    </row>
    <row r="92" spans="1:19" x14ac:dyDescent="0.25">
      <c r="A92">
        <v>8</v>
      </c>
      <c r="B92">
        <v>15</v>
      </c>
      <c r="C92">
        <v>90</v>
      </c>
      <c r="D92">
        <v>45</v>
      </c>
      <c r="E92">
        <v>5000</v>
      </c>
      <c r="F92">
        <v>12.5</v>
      </c>
      <c r="G92">
        <v>5</v>
      </c>
      <c r="H92">
        <v>78</v>
      </c>
      <c r="I92">
        <v>2.5641025641025599</v>
      </c>
      <c r="J92">
        <v>7.5320512820512802</v>
      </c>
      <c r="K92">
        <v>48.389423076923002</v>
      </c>
      <c r="L92">
        <v>590.84134615384596</v>
      </c>
      <c r="M92">
        <v>45</v>
      </c>
      <c r="N92">
        <f t="shared" si="9"/>
        <v>10.256410256410257</v>
      </c>
      <c r="O92">
        <f t="shared" si="7"/>
        <v>11.378205128205128</v>
      </c>
      <c r="P92">
        <f t="shared" si="8"/>
        <v>50.120192307692307</v>
      </c>
      <c r="Q92">
        <f t="shared" si="10"/>
        <v>14.336538461538456</v>
      </c>
      <c r="R92">
        <f t="shared" si="11"/>
        <v>35.783653846153854</v>
      </c>
      <c r="S92">
        <v>45</v>
      </c>
    </row>
    <row r="93" spans="1:19" x14ac:dyDescent="0.25">
      <c r="A93">
        <v>8</v>
      </c>
      <c r="B93">
        <v>16</v>
      </c>
      <c r="C93">
        <v>91</v>
      </c>
      <c r="D93">
        <v>45</v>
      </c>
      <c r="E93">
        <v>5000</v>
      </c>
      <c r="F93">
        <v>12.5</v>
      </c>
      <c r="G93">
        <v>5</v>
      </c>
      <c r="H93">
        <v>78</v>
      </c>
      <c r="I93">
        <v>2.5641025641025599</v>
      </c>
      <c r="J93">
        <v>7.5320512820512802</v>
      </c>
      <c r="K93">
        <v>48.389423076923002</v>
      </c>
      <c r="L93">
        <v>630.23076923076906</v>
      </c>
      <c r="M93">
        <v>45</v>
      </c>
      <c r="N93">
        <f t="shared" si="9"/>
        <v>10.256410256410257</v>
      </c>
      <c r="O93">
        <f t="shared" si="7"/>
        <v>11.378205128205128</v>
      </c>
      <c r="P93">
        <f t="shared" si="8"/>
        <v>50.120192307692307</v>
      </c>
      <c r="Q93">
        <f t="shared" si="10"/>
        <v>15.360576923076918</v>
      </c>
      <c r="R93">
        <f t="shared" si="11"/>
        <v>34.759615384615387</v>
      </c>
      <c r="S93">
        <v>45</v>
      </c>
    </row>
    <row r="94" spans="1:19" x14ac:dyDescent="0.25">
      <c r="A94">
        <v>8</v>
      </c>
      <c r="B94">
        <v>17</v>
      </c>
      <c r="C94">
        <v>94</v>
      </c>
      <c r="D94">
        <v>45</v>
      </c>
      <c r="E94">
        <v>5000</v>
      </c>
      <c r="F94">
        <v>12.5</v>
      </c>
      <c r="G94">
        <v>5</v>
      </c>
      <c r="H94">
        <v>78</v>
      </c>
      <c r="I94">
        <v>2.5641025641025599</v>
      </c>
      <c r="J94">
        <v>7.5320512820512802</v>
      </c>
      <c r="K94">
        <v>48.389423076923002</v>
      </c>
      <c r="L94">
        <v>669.62019230769204</v>
      </c>
      <c r="M94">
        <v>45</v>
      </c>
      <c r="N94">
        <f t="shared" si="9"/>
        <v>10.256410256410257</v>
      </c>
      <c r="O94">
        <f t="shared" si="7"/>
        <v>11.378205128205128</v>
      </c>
      <c r="P94">
        <f t="shared" si="8"/>
        <v>50.120192307692307</v>
      </c>
      <c r="Q94">
        <f t="shared" si="10"/>
        <v>16.38461538461538</v>
      </c>
      <c r="R94">
        <f t="shared" si="11"/>
        <v>33.735576923076927</v>
      </c>
      <c r="S94">
        <v>45</v>
      </c>
    </row>
    <row r="95" spans="1:19" x14ac:dyDescent="0.25">
      <c r="A95">
        <v>8</v>
      </c>
      <c r="B95">
        <v>18</v>
      </c>
      <c r="C95">
        <v>98</v>
      </c>
      <c r="D95">
        <v>45</v>
      </c>
      <c r="E95">
        <v>5000</v>
      </c>
      <c r="F95">
        <v>12.5</v>
      </c>
      <c r="G95">
        <v>5</v>
      </c>
      <c r="H95">
        <v>78</v>
      </c>
      <c r="I95">
        <v>2.5641025641025599</v>
      </c>
      <c r="J95">
        <v>7.5320512820512802</v>
      </c>
      <c r="K95">
        <v>48.389423076923002</v>
      </c>
      <c r="L95">
        <v>709.00961538461502</v>
      </c>
      <c r="M95">
        <v>45</v>
      </c>
      <c r="N95">
        <f t="shared" si="9"/>
        <v>10.256410256410257</v>
      </c>
      <c r="O95">
        <f t="shared" si="7"/>
        <v>11.378205128205128</v>
      </c>
      <c r="P95">
        <f t="shared" si="8"/>
        <v>50.120192307692307</v>
      </c>
      <c r="Q95">
        <f t="shared" si="10"/>
        <v>17.40865384615384</v>
      </c>
      <c r="R95">
        <f t="shared" si="11"/>
        <v>32.711538461538467</v>
      </c>
      <c r="S95">
        <v>45</v>
      </c>
    </row>
    <row r="96" spans="1:19" x14ac:dyDescent="0.25">
      <c r="A96">
        <v>8</v>
      </c>
      <c r="B96">
        <v>19</v>
      </c>
      <c r="C96">
        <v>99</v>
      </c>
      <c r="D96">
        <v>45</v>
      </c>
      <c r="E96">
        <v>5000</v>
      </c>
      <c r="F96">
        <v>12.5</v>
      </c>
      <c r="G96">
        <v>5</v>
      </c>
      <c r="H96">
        <v>78</v>
      </c>
      <c r="I96">
        <v>2.5641025641025599</v>
      </c>
      <c r="J96">
        <v>7.5320512820512802</v>
      </c>
      <c r="K96">
        <v>48.389423076923002</v>
      </c>
      <c r="L96">
        <v>748.399038461538</v>
      </c>
      <c r="M96">
        <v>45</v>
      </c>
      <c r="N96">
        <f t="shared" si="9"/>
        <v>10.256410256410257</v>
      </c>
      <c r="O96">
        <f t="shared" si="7"/>
        <v>11.378205128205128</v>
      </c>
      <c r="P96">
        <f t="shared" si="8"/>
        <v>50.120192307692307</v>
      </c>
      <c r="Q96">
        <f t="shared" si="10"/>
        <v>18.432692307692303</v>
      </c>
      <c r="R96">
        <f t="shared" si="11"/>
        <v>31.687500000000004</v>
      </c>
      <c r="S96">
        <v>45</v>
      </c>
    </row>
    <row r="97" spans="1:19" x14ac:dyDescent="0.25">
      <c r="A97">
        <v>9</v>
      </c>
      <c r="B97">
        <v>1</v>
      </c>
      <c r="C97">
        <v>55</v>
      </c>
      <c r="D97">
        <v>43</v>
      </c>
      <c r="E97">
        <v>5000</v>
      </c>
      <c r="F97">
        <v>12.5</v>
      </c>
      <c r="G97">
        <v>5</v>
      </c>
      <c r="H97">
        <v>78</v>
      </c>
      <c r="I97">
        <v>2.8846153846153801</v>
      </c>
      <c r="J97">
        <v>7.6923076923076898</v>
      </c>
      <c r="K97">
        <v>46.307692307692299</v>
      </c>
      <c r="L97">
        <v>37.707692307692298</v>
      </c>
      <c r="M97">
        <v>8</v>
      </c>
      <c r="N97">
        <f t="shared" si="9"/>
        <v>11.538461538461538</v>
      </c>
      <c r="O97">
        <f t="shared" si="7"/>
        <v>12.01923076923077</v>
      </c>
      <c r="P97">
        <f t="shared" si="8"/>
        <v>48.168269230769234</v>
      </c>
      <c r="Q97">
        <f t="shared" si="10"/>
        <v>0</v>
      </c>
      <c r="R97">
        <f t="shared" si="11"/>
        <v>48.168269230769234</v>
      </c>
      <c r="S97">
        <v>43</v>
      </c>
    </row>
    <row r="98" spans="1:19" x14ac:dyDescent="0.25">
      <c r="A98">
        <v>9</v>
      </c>
      <c r="B98">
        <v>2</v>
      </c>
      <c r="C98">
        <v>57</v>
      </c>
      <c r="D98">
        <v>43</v>
      </c>
      <c r="E98">
        <v>5000</v>
      </c>
      <c r="F98">
        <v>12.5</v>
      </c>
      <c r="G98">
        <v>5</v>
      </c>
      <c r="H98">
        <v>78</v>
      </c>
      <c r="I98">
        <v>2.8846153846153801</v>
      </c>
      <c r="J98">
        <v>7.6923076923076898</v>
      </c>
      <c r="K98">
        <v>46.307692307692299</v>
      </c>
      <c r="L98">
        <v>75.415384615384596</v>
      </c>
      <c r="M98">
        <v>-29</v>
      </c>
      <c r="N98">
        <f t="shared" si="9"/>
        <v>11.538461538461538</v>
      </c>
      <c r="O98">
        <f t="shared" ref="O98:O129" si="12">(F98 + N98) / 2</f>
        <v>12.01923076923077</v>
      </c>
      <c r="P98">
        <f t="shared" ref="P98:P129" si="13">D98 + ((D98 * O98) / 100)</f>
        <v>48.168269230769234</v>
      </c>
      <c r="Q98">
        <f t="shared" si="10"/>
        <v>1.0336538461538467</v>
      </c>
      <c r="R98">
        <f t="shared" si="11"/>
        <v>47.134615384615387</v>
      </c>
      <c r="S98">
        <v>43</v>
      </c>
    </row>
    <row r="99" spans="1:19" x14ac:dyDescent="0.25">
      <c r="A99">
        <v>9</v>
      </c>
      <c r="B99">
        <v>3</v>
      </c>
      <c r="C99">
        <v>61</v>
      </c>
      <c r="D99">
        <v>43</v>
      </c>
      <c r="E99">
        <v>5000</v>
      </c>
      <c r="F99">
        <v>12.5</v>
      </c>
      <c r="G99">
        <v>5</v>
      </c>
      <c r="H99">
        <v>78</v>
      </c>
      <c r="I99">
        <v>2.8846153846153801</v>
      </c>
      <c r="J99">
        <v>7.6923076923076898</v>
      </c>
      <c r="K99">
        <v>46.307692307692299</v>
      </c>
      <c r="L99">
        <v>113.123076923076</v>
      </c>
      <c r="M99">
        <v>-66</v>
      </c>
      <c r="N99">
        <f t="shared" si="9"/>
        <v>11.538461538461538</v>
      </c>
      <c r="O99">
        <f t="shared" si="12"/>
        <v>12.01923076923077</v>
      </c>
      <c r="P99">
        <f t="shared" si="13"/>
        <v>48.168269230769234</v>
      </c>
      <c r="Q99">
        <f t="shared" si="10"/>
        <v>2.0673076923076934</v>
      </c>
      <c r="R99">
        <f t="shared" si="11"/>
        <v>46.10096153846154</v>
      </c>
      <c r="S99">
        <v>43</v>
      </c>
    </row>
    <row r="100" spans="1:19" x14ac:dyDescent="0.25">
      <c r="A100">
        <v>9</v>
      </c>
      <c r="B100">
        <v>4</v>
      </c>
      <c r="C100">
        <v>72</v>
      </c>
      <c r="D100">
        <v>43</v>
      </c>
      <c r="E100">
        <v>5000</v>
      </c>
      <c r="F100">
        <v>12.5</v>
      </c>
      <c r="G100">
        <v>5</v>
      </c>
      <c r="H100">
        <v>78</v>
      </c>
      <c r="I100">
        <v>2.8846153846153801</v>
      </c>
      <c r="J100">
        <v>7.6923076923076898</v>
      </c>
      <c r="K100">
        <v>46.307692307692299</v>
      </c>
      <c r="L100">
        <v>150.83076923076899</v>
      </c>
      <c r="M100">
        <v>-104</v>
      </c>
      <c r="N100">
        <f t="shared" si="9"/>
        <v>11.538461538461538</v>
      </c>
      <c r="O100">
        <f t="shared" si="12"/>
        <v>12.01923076923077</v>
      </c>
      <c r="P100">
        <f t="shared" si="13"/>
        <v>48.168269230769234</v>
      </c>
      <c r="Q100">
        <f t="shared" si="10"/>
        <v>3.1009615384615401</v>
      </c>
      <c r="R100">
        <f t="shared" si="11"/>
        <v>45.067307692307693</v>
      </c>
      <c r="S100">
        <v>43</v>
      </c>
    </row>
    <row r="101" spans="1:19" x14ac:dyDescent="0.25">
      <c r="A101">
        <v>9</v>
      </c>
      <c r="B101">
        <v>5</v>
      </c>
      <c r="C101">
        <v>73</v>
      </c>
      <c r="D101">
        <v>43</v>
      </c>
      <c r="E101">
        <v>5000</v>
      </c>
      <c r="F101">
        <v>12.5</v>
      </c>
      <c r="G101">
        <v>5</v>
      </c>
      <c r="H101">
        <v>78</v>
      </c>
      <c r="I101">
        <v>2.8846153846153801</v>
      </c>
      <c r="J101">
        <v>7.6923076923076898</v>
      </c>
      <c r="K101">
        <v>46.307692307692299</v>
      </c>
      <c r="L101">
        <v>188.53846153846101</v>
      </c>
      <c r="M101">
        <v>-142</v>
      </c>
      <c r="N101">
        <f t="shared" si="9"/>
        <v>11.538461538461538</v>
      </c>
      <c r="O101">
        <f t="shared" si="12"/>
        <v>12.01923076923077</v>
      </c>
      <c r="P101">
        <f t="shared" si="13"/>
        <v>48.168269230769234</v>
      </c>
      <c r="Q101">
        <f t="shared" si="10"/>
        <v>4.1346153846153868</v>
      </c>
      <c r="R101">
        <f t="shared" si="11"/>
        <v>44.033653846153847</v>
      </c>
      <c r="S101">
        <v>43</v>
      </c>
    </row>
    <row r="102" spans="1:19" x14ac:dyDescent="0.25">
      <c r="A102">
        <v>9</v>
      </c>
      <c r="B102">
        <v>6</v>
      </c>
      <c r="C102">
        <v>76</v>
      </c>
      <c r="D102">
        <v>43</v>
      </c>
      <c r="E102">
        <v>5000</v>
      </c>
      <c r="F102">
        <v>12.5</v>
      </c>
      <c r="G102">
        <v>5</v>
      </c>
      <c r="H102">
        <v>78</v>
      </c>
      <c r="I102">
        <v>2.8846153846153801</v>
      </c>
      <c r="J102">
        <v>7.6923076923076898</v>
      </c>
      <c r="K102">
        <v>46.307692307692299</v>
      </c>
      <c r="L102">
        <v>226.24615384615299</v>
      </c>
      <c r="M102">
        <v>43</v>
      </c>
      <c r="N102">
        <f t="shared" si="9"/>
        <v>11.538461538461538</v>
      </c>
      <c r="O102">
        <f t="shared" si="12"/>
        <v>12.01923076923077</v>
      </c>
      <c r="P102">
        <f t="shared" si="13"/>
        <v>48.168269230769234</v>
      </c>
      <c r="Q102">
        <f t="shared" si="10"/>
        <v>5.1682692307692335</v>
      </c>
      <c r="R102">
        <f t="shared" si="11"/>
        <v>43</v>
      </c>
      <c r="S102">
        <v>43</v>
      </c>
    </row>
    <row r="103" spans="1:19" x14ac:dyDescent="0.25">
      <c r="A103">
        <v>9</v>
      </c>
      <c r="B103">
        <v>7</v>
      </c>
      <c r="C103">
        <v>81</v>
      </c>
      <c r="D103">
        <v>43</v>
      </c>
      <c r="E103">
        <v>5000</v>
      </c>
      <c r="F103">
        <v>12.5</v>
      </c>
      <c r="G103">
        <v>5</v>
      </c>
      <c r="H103">
        <v>78</v>
      </c>
      <c r="I103">
        <v>2.8846153846153801</v>
      </c>
      <c r="J103">
        <v>7.6923076923076898</v>
      </c>
      <c r="K103">
        <v>46.307692307692299</v>
      </c>
      <c r="L103">
        <v>263.95384615384597</v>
      </c>
      <c r="M103">
        <v>43</v>
      </c>
      <c r="N103">
        <f t="shared" si="9"/>
        <v>11.538461538461538</v>
      </c>
      <c r="O103">
        <f t="shared" si="12"/>
        <v>12.01923076923077</v>
      </c>
      <c r="P103">
        <f t="shared" si="13"/>
        <v>48.168269230769234</v>
      </c>
      <c r="Q103">
        <f t="shared" si="10"/>
        <v>6.2019230769230802</v>
      </c>
      <c r="R103">
        <f t="shared" si="11"/>
        <v>41.966346153846153</v>
      </c>
      <c r="S103">
        <v>43</v>
      </c>
    </row>
    <row r="104" spans="1:19" x14ac:dyDescent="0.25">
      <c r="A104">
        <v>9</v>
      </c>
      <c r="B104">
        <v>8</v>
      </c>
      <c r="C104">
        <v>85</v>
      </c>
      <c r="D104">
        <v>43</v>
      </c>
      <c r="E104">
        <v>5000</v>
      </c>
      <c r="F104">
        <v>12.5</v>
      </c>
      <c r="G104">
        <v>5</v>
      </c>
      <c r="H104">
        <v>78</v>
      </c>
      <c r="I104">
        <v>2.8846153846153801</v>
      </c>
      <c r="J104">
        <v>7.6923076923076898</v>
      </c>
      <c r="K104">
        <v>46.307692307692299</v>
      </c>
      <c r="L104">
        <v>301.66153846153799</v>
      </c>
      <c r="M104">
        <v>43</v>
      </c>
      <c r="N104">
        <f t="shared" si="9"/>
        <v>11.538461538461538</v>
      </c>
      <c r="O104">
        <f t="shared" si="12"/>
        <v>12.01923076923077</v>
      </c>
      <c r="P104">
        <f t="shared" si="13"/>
        <v>48.168269230769234</v>
      </c>
      <c r="Q104">
        <f t="shared" si="10"/>
        <v>7.2355769230769269</v>
      </c>
      <c r="R104">
        <f t="shared" si="11"/>
        <v>40.932692307692307</v>
      </c>
      <c r="S104">
        <v>43</v>
      </c>
    </row>
    <row r="105" spans="1:19" x14ac:dyDescent="0.25">
      <c r="A105">
        <v>9</v>
      </c>
      <c r="B105">
        <v>9</v>
      </c>
      <c r="C105">
        <v>87</v>
      </c>
      <c r="D105">
        <v>43</v>
      </c>
      <c r="E105">
        <v>5000</v>
      </c>
      <c r="F105">
        <v>12.5</v>
      </c>
      <c r="G105">
        <v>5</v>
      </c>
      <c r="H105">
        <v>78</v>
      </c>
      <c r="I105">
        <v>2.8846153846153801</v>
      </c>
      <c r="J105">
        <v>7.6923076923076898</v>
      </c>
      <c r="K105">
        <v>46.307692307692299</v>
      </c>
      <c r="L105">
        <v>339.36923076923</v>
      </c>
      <c r="M105">
        <v>43</v>
      </c>
      <c r="N105">
        <f t="shared" si="9"/>
        <v>11.538461538461538</v>
      </c>
      <c r="O105">
        <f t="shared" si="12"/>
        <v>12.01923076923077</v>
      </c>
      <c r="P105">
        <f t="shared" si="13"/>
        <v>48.168269230769234</v>
      </c>
      <c r="Q105">
        <f t="shared" si="10"/>
        <v>8.2692307692307736</v>
      </c>
      <c r="R105">
        <f t="shared" si="11"/>
        <v>39.89903846153846</v>
      </c>
      <c r="S105">
        <v>43</v>
      </c>
    </row>
    <row r="106" spans="1:19" x14ac:dyDescent="0.25">
      <c r="A106">
        <v>9</v>
      </c>
      <c r="B106">
        <v>10</v>
      </c>
      <c r="C106">
        <v>96</v>
      </c>
      <c r="D106">
        <v>43</v>
      </c>
      <c r="E106">
        <v>5000</v>
      </c>
      <c r="F106">
        <v>12.5</v>
      </c>
      <c r="G106">
        <v>5</v>
      </c>
      <c r="H106">
        <v>78</v>
      </c>
      <c r="I106">
        <v>2.8846153846153801</v>
      </c>
      <c r="J106">
        <v>7.6923076923076898</v>
      </c>
      <c r="K106">
        <v>46.307692307692299</v>
      </c>
      <c r="L106">
        <v>377.07692307692298</v>
      </c>
      <c r="M106">
        <v>43</v>
      </c>
      <c r="N106">
        <f t="shared" si="9"/>
        <v>11.538461538461538</v>
      </c>
      <c r="O106">
        <f t="shared" si="12"/>
        <v>12.01923076923077</v>
      </c>
      <c r="P106">
        <f t="shared" si="13"/>
        <v>48.168269230769234</v>
      </c>
      <c r="Q106">
        <f t="shared" si="10"/>
        <v>9.3028846153846203</v>
      </c>
      <c r="R106">
        <f t="shared" si="11"/>
        <v>38.865384615384613</v>
      </c>
      <c r="S106">
        <v>43</v>
      </c>
    </row>
    <row r="107" spans="1:19" x14ac:dyDescent="0.25">
      <c r="A107">
        <v>9</v>
      </c>
      <c r="B107">
        <v>11</v>
      </c>
      <c r="C107">
        <v>97</v>
      </c>
      <c r="D107">
        <v>43</v>
      </c>
      <c r="E107">
        <v>5000</v>
      </c>
      <c r="F107">
        <v>12.5</v>
      </c>
      <c r="G107">
        <v>5</v>
      </c>
      <c r="H107">
        <v>78</v>
      </c>
      <c r="I107">
        <v>2.8846153846153801</v>
      </c>
      <c r="J107">
        <v>7.6923076923076898</v>
      </c>
      <c r="K107">
        <v>46.307692307692299</v>
      </c>
      <c r="L107">
        <v>414.78461538461499</v>
      </c>
      <c r="M107">
        <v>43</v>
      </c>
      <c r="N107">
        <f t="shared" si="9"/>
        <v>11.538461538461538</v>
      </c>
      <c r="O107">
        <f t="shared" si="12"/>
        <v>12.01923076923077</v>
      </c>
      <c r="P107">
        <f t="shared" si="13"/>
        <v>48.168269230769234</v>
      </c>
      <c r="Q107">
        <f t="shared" si="10"/>
        <v>10.336538461538467</v>
      </c>
      <c r="R107">
        <f t="shared" si="11"/>
        <v>37.831730769230766</v>
      </c>
      <c r="S107">
        <v>43</v>
      </c>
    </row>
    <row r="108" spans="1:19" x14ac:dyDescent="0.25">
      <c r="A108">
        <v>10</v>
      </c>
      <c r="B108">
        <v>1</v>
      </c>
      <c r="C108">
        <v>56</v>
      </c>
      <c r="D108">
        <v>34</v>
      </c>
      <c r="E108">
        <v>5000</v>
      </c>
      <c r="F108">
        <v>12.5</v>
      </c>
      <c r="G108">
        <v>5</v>
      </c>
      <c r="H108">
        <v>78</v>
      </c>
      <c r="I108">
        <v>3.2051282051282</v>
      </c>
      <c r="J108">
        <v>7.8525641025641004</v>
      </c>
      <c r="K108">
        <v>36.669871794871703</v>
      </c>
      <c r="L108">
        <v>29.869871794871699</v>
      </c>
      <c r="M108">
        <v>6</v>
      </c>
      <c r="N108">
        <f t="shared" si="9"/>
        <v>12.820512820512821</v>
      </c>
      <c r="O108">
        <f t="shared" si="12"/>
        <v>12.660256410256411</v>
      </c>
      <c r="P108">
        <f t="shared" si="13"/>
        <v>38.304487179487182</v>
      </c>
      <c r="Q108">
        <f t="shared" si="10"/>
        <v>0</v>
      </c>
      <c r="R108">
        <f t="shared" si="11"/>
        <v>38.304487179487182</v>
      </c>
      <c r="S108">
        <v>34</v>
      </c>
    </row>
    <row r="109" spans="1:19" x14ac:dyDescent="0.25">
      <c r="A109">
        <v>10</v>
      </c>
      <c r="B109">
        <v>2</v>
      </c>
      <c r="C109">
        <v>62</v>
      </c>
      <c r="D109">
        <v>34</v>
      </c>
      <c r="E109">
        <v>5000</v>
      </c>
      <c r="F109">
        <v>12.5</v>
      </c>
      <c r="G109">
        <v>5</v>
      </c>
      <c r="H109">
        <v>78</v>
      </c>
      <c r="I109">
        <v>3.2051282051282</v>
      </c>
      <c r="J109">
        <v>7.8525641025641004</v>
      </c>
      <c r="K109">
        <v>36.669871794871703</v>
      </c>
      <c r="L109">
        <v>59.739743589743497</v>
      </c>
      <c r="M109">
        <v>-23</v>
      </c>
      <c r="N109">
        <f t="shared" si="9"/>
        <v>12.820512820512821</v>
      </c>
      <c r="O109">
        <f t="shared" si="12"/>
        <v>12.660256410256411</v>
      </c>
      <c r="P109">
        <f t="shared" si="13"/>
        <v>38.304487179487182</v>
      </c>
      <c r="Q109">
        <f t="shared" si="10"/>
        <v>0.8608974358974365</v>
      </c>
      <c r="R109">
        <f t="shared" si="11"/>
        <v>37.443589743589747</v>
      </c>
      <c r="S109">
        <v>34</v>
      </c>
    </row>
    <row r="110" spans="1:19" x14ac:dyDescent="0.25">
      <c r="A110">
        <v>10</v>
      </c>
      <c r="B110">
        <v>3</v>
      </c>
      <c r="C110">
        <v>69</v>
      </c>
      <c r="D110">
        <v>34</v>
      </c>
      <c r="E110">
        <v>5000</v>
      </c>
      <c r="F110">
        <v>12.5</v>
      </c>
      <c r="G110">
        <v>5</v>
      </c>
      <c r="H110">
        <v>78</v>
      </c>
      <c r="I110">
        <v>3.2051282051282</v>
      </c>
      <c r="J110">
        <v>7.8525641025641004</v>
      </c>
      <c r="K110">
        <v>36.669871794871703</v>
      </c>
      <c r="L110">
        <v>89.609615384615296</v>
      </c>
      <c r="M110">
        <v>-52</v>
      </c>
      <c r="N110">
        <f t="shared" si="9"/>
        <v>12.820512820512821</v>
      </c>
      <c r="O110">
        <f t="shared" si="12"/>
        <v>12.660256410256411</v>
      </c>
      <c r="P110">
        <f t="shared" si="13"/>
        <v>38.304487179487182</v>
      </c>
      <c r="Q110">
        <f t="shared" si="10"/>
        <v>1.721794871794873</v>
      </c>
      <c r="R110">
        <f t="shared" si="11"/>
        <v>36.582692307692312</v>
      </c>
      <c r="S110">
        <v>34</v>
      </c>
    </row>
    <row r="111" spans="1:19" x14ac:dyDescent="0.25">
      <c r="A111">
        <v>10</v>
      </c>
      <c r="B111">
        <v>4</v>
      </c>
      <c r="C111">
        <v>78</v>
      </c>
      <c r="D111">
        <v>34</v>
      </c>
      <c r="E111">
        <v>5000</v>
      </c>
      <c r="F111">
        <v>12.5</v>
      </c>
      <c r="G111">
        <v>5</v>
      </c>
      <c r="H111">
        <v>78</v>
      </c>
      <c r="I111">
        <v>3.2051282051282</v>
      </c>
      <c r="J111">
        <v>7.8525641025641004</v>
      </c>
      <c r="K111">
        <v>36.669871794871703</v>
      </c>
      <c r="L111">
        <v>119.47948717948699</v>
      </c>
      <c r="M111">
        <v>-82</v>
      </c>
      <c r="N111">
        <f t="shared" si="9"/>
        <v>12.820512820512821</v>
      </c>
      <c r="O111">
        <f t="shared" si="12"/>
        <v>12.660256410256411</v>
      </c>
      <c r="P111">
        <f t="shared" si="13"/>
        <v>38.304487179487182</v>
      </c>
      <c r="Q111">
        <f t="shared" si="10"/>
        <v>2.5826923076923096</v>
      </c>
      <c r="R111">
        <f t="shared" si="11"/>
        <v>35.72179487179487</v>
      </c>
      <c r="S111">
        <v>34</v>
      </c>
    </row>
    <row r="112" spans="1:19" x14ac:dyDescent="0.25">
      <c r="A112">
        <v>10</v>
      </c>
      <c r="B112">
        <v>5</v>
      </c>
      <c r="C112">
        <v>79</v>
      </c>
      <c r="D112">
        <v>34</v>
      </c>
      <c r="E112">
        <v>5000</v>
      </c>
      <c r="F112">
        <v>12.5</v>
      </c>
      <c r="G112">
        <v>5</v>
      </c>
      <c r="H112">
        <v>78</v>
      </c>
      <c r="I112">
        <v>3.2051282051282</v>
      </c>
      <c r="J112">
        <v>7.8525641025641004</v>
      </c>
      <c r="K112">
        <v>36.669871794871703</v>
      </c>
      <c r="L112">
        <v>149.34935897435801</v>
      </c>
      <c r="M112">
        <v>-112</v>
      </c>
      <c r="N112">
        <f t="shared" si="9"/>
        <v>12.820512820512821</v>
      </c>
      <c r="O112">
        <f t="shared" si="12"/>
        <v>12.660256410256411</v>
      </c>
      <c r="P112">
        <f t="shared" si="13"/>
        <v>38.304487179487182</v>
      </c>
      <c r="Q112">
        <f t="shared" si="10"/>
        <v>3.443589743589746</v>
      </c>
      <c r="R112">
        <f t="shared" si="11"/>
        <v>34.860897435897435</v>
      </c>
      <c r="S112">
        <v>34</v>
      </c>
    </row>
    <row r="113" spans="1:19" x14ac:dyDescent="0.25">
      <c r="A113">
        <v>10</v>
      </c>
      <c r="B113">
        <v>6</v>
      </c>
      <c r="C113">
        <v>84</v>
      </c>
      <c r="D113">
        <v>34</v>
      </c>
      <c r="E113">
        <v>5000</v>
      </c>
      <c r="F113">
        <v>12.5</v>
      </c>
      <c r="G113">
        <v>5</v>
      </c>
      <c r="H113">
        <v>78</v>
      </c>
      <c r="I113">
        <v>3.2051282051282</v>
      </c>
      <c r="J113">
        <v>7.8525641025641004</v>
      </c>
      <c r="K113">
        <v>36.669871794871703</v>
      </c>
      <c r="L113">
        <v>179.21923076922999</v>
      </c>
      <c r="M113">
        <v>34</v>
      </c>
      <c r="N113">
        <f t="shared" si="9"/>
        <v>12.820512820512821</v>
      </c>
      <c r="O113">
        <f t="shared" si="12"/>
        <v>12.660256410256411</v>
      </c>
      <c r="P113">
        <f t="shared" si="13"/>
        <v>38.304487179487182</v>
      </c>
      <c r="Q113">
        <f t="shared" si="10"/>
        <v>4.3044871794871824</v>
      </c>
      <c r="R113">
        <f t="shared" si="11"/>
        <v>34</v>
      </c>
      <c r="S113">
        <v>34</v>
      </c>
    </row>
    <row r="114" spans="1:19" x14ac:dyDescent="0.25">
      <c r="A114">
        <v>10</v>
      </c>
      <c r="B114">
        <v>7</v>
      </c>
      <c r="C114">
        <v>95</v>
      </c>
      <c r="D114">
        <v>34</v>
      </c>
      <c r="E114">
        <v>5000</v>
      </c>
      <c r="F114">
        <v>12.5</v>
      </c>
      <c r="G114">
        <v>5</v>
      </c>
      <c r="H114">
        <v>78</v>
      </c>
      <c r="I114">
        <v>3.2051282051282</v>
      </c>
      <c r="J114">
        <v>7.8525641025641004</v>
      </c>
      <c r="K114">
        <v>36.669871794871703</v>
      </c>
      <c r="L114">
        <v>209.08910256410201</v>
      </c>
      <c r="M114">
        <v>34</v>
      </c>
      <c r="N114">
        <f t="shared" si="9"/>
        <v>12.820512820512821</v>
      </c>
      <c r="O114">
        <f t="shared" si="12"/>
        <v>12.660256410256411</v>
      </c>
      <c r="P114">
        <f t="shared" si="13"/>
        <v>38.304487179487182</v>
      </c>
      <c r="Q114">
        <f t="shared" si="10"/>
        <v>5.1653846153846192</v>
      </c>
      <c r="R114">
        <f t="shared" si="11"/>
        <v>33.139102564102565</v>
      </c>
      <c r="S114">
        <v>34</v>
      </c>
    </row>
    <row r="115" spans="1:19" x14ac:dyDescent="0.25">
      <c r="A115">
        <v>10</v>
      </c>
      <c r="B115">
        <v>8</v>
      </c>
      <c r="C115">
        <v>100</v>
      </c>
      <c r="D115">
        <v>34</v>
      </c>
      <c r="E115">
        <v>5000</v>
      </c>
      <c r="F115">
        <v>12.5</v>
      </c>
      <c r="G115">
        <v>5</v>
      </c>
      <c r="H115">
        <v>78</v>
      </c>
      <c r="I115">
        <v>3.2051282051282</v>
      </c>
      <c r="J115">
        <v>7.8525641025641004</v>
      </c>
      <c r="K115">
        <v>36.669871794871703</v>
      </c>
      <c r="L115">
        <v>238.95897435897399</v>
      </c>
      <c r="M115">
        <v>34</v>
      </c>
      <c r="N115">
        <f t="shared" si="9"/>
        <v>12.820512820512821</v>
      </c>
      <c r="O115">
        <f t="shared" si="12"/>
        <v>12.660256410256411</v>
      </c>
      <c r="P115">
        <f t="shared" si="13"/>
        <v>38.304487179487182</v>
      </c>
      <c r="Q115">
        <f t="shared" si="10"/>
        <v>6.0262820512820552</v>
      </c>
      <c r="R115">
        <f t="shared" si="11"/>
        <v>32.27820512820513</v>
      </c>
      <c r="S115">
        <v>34</v>
      </c>
    </row>
    <row r="116" spans="1:19" x14ac:dyDescent="0.25">
      <c r="A116">
        <v>10</v>
      </c>
      <c r="B116">
        <v>9</v>
      </c>
      <c r="C116">
        <v>101</v>
      </c>
      <c r="D116">
        <v>34</v>
      </c>
      <c r="E116">
        <v>5000</v>
      </c>
      <c r="F116">
        <v>12.5</v>
      </c>
      <c r="G116">
        <v>5</v>
      </c>
      <c r="H116">
        <v>78</v>
      </c>
      <c r="I116">
        <v>3.2051282051282</v>
      </c>
      <c r="J116">
        <v>7.8525641025641004</v>
      </c>
      <c r="K116">
        <v>36.669871794871703</v>
      </c>
      <c r="L116">
        <v>268.82884615384597</v>
      </c>
      <c r="M116">
        <v>34</v>
      </c>
      <c r="N116">
        <f t="shared" si="9"/>
        <v>12.820512820512821</v>
      </c>
      <c r="O116">
        <f t="shared" si="12"/>
        <v>12.660256410256411</v>
      </c>
      <c r="P116">
        <f t="shared" si="13"/>
        <v>38.304487179487182</v>
      </c>
      <c r="Q116">
        <f t="shared" si="10"/>
        <v>6.887179487179492</v>
      </c>
      <c r="R116">
        <f t="shared" si="11"/>
        <v>31.417307692307691</v>
      </c>
      <c r="S116">
        <v>34</v>
      </c>
    </row>
    <row r="117" spans="1:19" x14ac:dyDescent="0.25">
      <c r="A117">
        <v>11</v>
      </c>
      <c r="B117">
        <v>1</v>
      </c>
      <c r="C117">
        <v>58</v>
      </c>
      <c r="D117">
        <v>83</v>
      </c>
      <c r="E117">
        <v>5000</v>
      </c>
      <c r="F117">
        <v>12.5</v>
      </c>
      <c r="G117">
        <v>5</v>
      </c>
      <c r="H117">
        <v>78</v>
      </c>
      <c r="I117">
        <v>3.5256410256410202</v>
      </c>
      <c r="J117">
        <v>8.0128205128205092</v>
      </c>
      <c r="K117">
        <v>89.650641025640994</v>
      </c>
      <c r="L117">
        <v>73.050641025640999</v>
      </c>
      <c r="M117">
        <v>16</v>
      </c>
      <c r="N117">
        <f t="shared" si="9"/>
        <v>14.102564102564102</v>
      </c>
      <c r="O117">
        <f t="shared" si="12"/>
        <v>13.301282051282051</v>
      </c>
      <c r="P117">
        <f t="shared" si="13"/>
        <v>94.040064102564102</v>
      </c>
      <c r="Q117">
        <f t="shared" si="10"/>
        <v>0</v>
      </c>
      <c r="R117">
        <f t="shared" si="11"/>
        <v>94.040064102564102</v>
      </c>
      <c r="S117">
        <v>83</v>
      </c>
    </row>
    <row r="118" spans="1:19" x14ac:dyDescent="0.25">
      <c r="A118">
        <v>11</v>
      </c>
      <c r="B118">
        <v>2</v>
      </c>
      <c r="C118">
        <v>63</v>
      </c>
      <c r="D118">
        <v>83</v>
      </c>
      <c r="E118">
        <v>5000</v>
      </c>
      <c r="F118">
        <v>12.5</v>
      </c>
      <c r="G118">
        <v>5</v>
      </c>
      <c r="H118">
        <v>78</v>
      </c>
      <c r="I118">
        <v>3.5256410256410202</v>
      </c>
      <c r="J118">
        <v>8.0128205128205092</v>
      </c>
      <c r="K118">
        <v>89.650641025640994</v>
      </c>
      <c r="L118">
        <v>146.101282051282</v>
      </c>
      <c r="M118">
        <v>-56</v>
      </c>
      <c r="N118">
        <f t="shared" si="9"/>
        <v>14.102564102564102</v>
      </c>
      <c r="O118">
        <f t="shared" si="12"/>
        <v>13.301282051282051</v>
      </c>
      <c r="P118">
        <f t="shared" si="13"/>
        <v>94.040064102564102</v>
      </c>
      <c r="Q118">
        <f t="shared" si="10"/>
        <v>2.2080128205128204</v>
      </c>
      <c r="R118">
        <f t="shared" si="11"/>
        <v>91.832051282051282</v>
      </c>
      <c r="S118">
        <v>83</v>
      </c>
    </row>
    <row r="119" spans="1:19" x14ac:dyDescent="0.25">
      <c r="A119">
        <v>11</v>
      </c>
      <c r="B119">
        <v>3</v>
      </c>
      <c r="C119">
        <v>70</v>
      </c>
      <c r="D119">
        <v>83</v>
      </c>
      <c r="E119">
        <v>5000</v>
      </c>
      <c r="F119">
        <v>12.5</v>
      </c>
      <c r="G119">
        <v>5</v>
      </c>
      <c r="H119">
        <v>78</v>
      </c>
      <c r="I119">
        <v>3.5256410256410202</v>
      </c>
      <c r="J119">
        <v>8.0128205128205092</v>
      </c>
      <c r="K119">
        <v>89.650641025640994</v>
      </c>
      <c r="L119">
        <v>219.151923076923</v>
      </c>
      <c r="M119">
        <v>-129</v>
      </c>
      <c r="N119">
        <f t="shared" si="9"/>
        <v>14.102564102564102</v>
      </c>
      <c r="O119">
        <f t="shared" si="12"/>
        <v>13.301282051282051</v>
      </c>
      <c r="P119">
        <f t="shared" si="13"/>
        <v>94.040064102564102</v>
      </c>
      <c r="Q119">
        <f t="shared" si="10"/>
        <v>4.4160256410256409</v>
      </c>
      <c r="R119">
        <f t="shared" si="11"/>
        <v>89.624038461538461</v>
      </c>
      <c r="S119">
        <v>83</v>
      </c>
    </row>
    <row r="120" spans="1:19" x14ac:dyDescent="0.25">
      <c r="A120">
        <v>11</v>
      </c>
      <c r="B120">
        <v>4</v>
      </c>
      <c r="C120">
        <v>77</v>
      </c>
      <c r="D120">
        <v>83</v>
      </c>
      <c r="E120">
        <v>5000</v>
      </c>
      <c r="F120">
        <v>12.5</v>
      </c>
      <c r="G120">
        <v>5</v>
      </c>
      <c r="H120">
        <v>78</v>
      </c>
      <c r="I120">
        <v>3.5256410256410202</v>
      </c>
      <c r="J120">
        <v>8.0128205128205092</v>
      </c>
      <c r="K120">
        <v>89.650641025640994</v>
      </c>
      <c r="L120">
        <v>292.202564102564</v>
      </c>
      <c r="M120">
        <v>-202</v>
      </c>
      <c r="N120">
        <f t="shared" si="9"/>
        <v>14.102564102564102</v>
      </c>
      <c r="O120">
        <f t="shared" si="12"/>
        <v>13.301282051282051</v>
      </c>
      <c r="P120">
        <f t="shared" si="13"/>
        <v>94.040064102564102</v>
      </c>
      <c r="Q120">
        <f t="shared" si="10"/>
        <v>6.6240384615384613</v>
      </c>
      <c r="R120">
        <f t="shared" si="11"/>
        <v>87.416025641025641</v>
      </c>
      <c r="S120">
        <v>83</v>
      </c>
    </row>
    <row r="121" spans="1:19" x14ac:dyDescent="0.25">
      <c r="A121">
        <v>11</v>
      </c>
      <c r="B121">
        <v>5</v>
      </c>
      <c r="C121">
        <v>88</v>
      </c>
      <c r="D121">
        <v>83</v>
      </c>
      <c r="E121">
        <v>5000</v>
      </c>
      <c r="F121">
        <v>12.5</v>
      </c>
      <c r="G121">
        <v>5</v>
      </c>
      <c r="H121">
        <v>78</v>
      </c>
      <c r="I121">
        <v>3.5256410256410202</v>
      </c>
      <c r="J121">
        <v>8.0128205128205092</v>
      </c>
      <c r="K121">
        <v>89.650641025640994</v>
      </c>
      <c r="L121">
        <v>365.25320512820502</v>
      </c>
      <c r="M121">
        <v>-275</v>
      </c>
      <c r="N121">
        <f t="shared" si="9"/>
        <v>14.102564102564102</v>
      </c>
      <c r="O121">
        <f t="shared" si="12"/>
        <v>13.301282051282051</v>
      </c>
      <c r="P121">
        <f t="shared" si="13"/>
        <v>94.040064102564102</v>
      </c>
      <c r="Q121">
        <f t="shared" si="10"/>
        <v>8.8320512820512818</v>
      </c>
      <c r="R121">
        <f t="shared" si="11"/>
        <v>85.20801282051282</v>
      </c>
      <c r="S121">
        <v>83</v>
      </c>
    </row>
    <row r="122" spans="1:19" x14ac:dyDescent="0.25">
      <c r="A122">
        <v>11</v>
      </c>
      <c r="B122">
        <v>6</v>
      </c>
      <c r="C122">
        <v>92</v>
      </c>
      <c r="D122">
        <v>83</v>
      </c>
      <c r="E122">
        <v>5000</v>
      </c>
      <c r="F122">
        <v>12.5</v>
      </c>
      <c r="G122">
        <v>5</v>
      </c>
      <c r="H122">
        <v>78</v>
      </c>
      <c r="I122">
        <v>3.5256410256410202</v>
      </c>
      <c r="J122">
        <v>8.0128205128205092</v>
      </c>
      <c r="K122">
        <v>89.650641025640994</v>
      </c>
      <c r="L122">
        <v>438.303846153846</v>
      </c>
      <c r="M122">
        <v>83</v>
      </c>
      <c r="N122">
        <f t="shared" si="9"/>
        <v>14.102564102564102</v>
      </c>
      <c r="O122">
        <f t="shared" si="12"/>
        <v>13.301282051282051</v>
      </c>
      <c r="P122">
        <f t="shared" si="13"/>
        <v>94.040064102564102</v>
      </c>
      <c r="Q122">
        <f t="shared" si="10"/>
        <v>11.040064102564102</v>
      </c>
      <c r="R122">
        <f t="shared" si="11"/>
        <v>83</v>
      </c>
      <c r="S122">
        <v>83</v>
      </c>
    </row>
    <row r="123" spans="1:19" x14ac:dyDescent="0.25">
      <c r="A123">
        <v>11</v>
      </c>
      <c r="B123">
        <v>7</v>
      </c>
      <c r="C123">
        <v>102</v>
      </c>
      <c r="D123">
        <v>83</v>
      </c>
      <c r="E123">
        <v>5000</v>
      </c>
      <c r="F123">
        <v>12.5</v>
      </c>
      <c r="G123">
        <v>5</v>
      </c>
      <c r="H123">
        <v>78</v>
      </c>
      <c r="I123">
        <v>3.5256410256410202</v>
      </c>
      <c r="J123">
        <v>8.0128205128205092</v>
      </c>
      <c r="K123">
        <v>89.650641025640994</v>
      </c>
      <c r="L123">
        <v>511.35448717948702</v>
      </c>
      <c r="M123">
        <v>83</v>
      </c>
      <c r="N123">
        <f t="shared" si="9"/>
        <v>14.102564102564102</v>
      </c>
      <c r="O123">
        <f t="shared" si="12"/>
        <v>13.301282051282051</v>
      </c>
      <c r="P123">
        <f t="shared" si="13"/>
        <v>94.040064102564102</v>
      </c>
      <c r="Q123">
        <f t="shared" si="10"/>
        <v>13.248076923076923</v>
      </c>
      <c r="R123">
        <f t="shared" si="11"/>
        <v>80.79198717948718</v>
      </c>
      <c r="S123">
        <v>83</v>
      </c>
    </row>
    <row r="124" spans="1:19" x14ac:dyDescent="0.25">
      <c r="A124">
        <v>12</v>
      </c>
      <c r="B124">
        <v>1</v>
      </c>
      <c r="C124">
        <v>64</v>
      </c>
      <c r="D124">
        <v>123</v>
      </c>
      <c r="E124">
        <v>5000</v>
      </c>
      <c r="F124">
        <v>12.5</v>
      </c>
      <c r="G124">
        <v>5</v>
      </c>
      <c r="H124">
        <v>78</v>
      </c>
      <c r="I124">
        <v>3.84615384615384</v>
      </c>
      <c r="J124">
        <v>8.1730769230769198</v>
      </c>
      <c r="K124">
        <v>133.05288461538399</v>
      </c>
      <c r="L124">
        <v>108.45288461538399</v>
      </c>
      <c r="M124">
        <v>24</v>
      </c>
      <c r="N124">
        <f t="shared" si="9"/>
        <v>15.384615384615385</v>
      </c>
      <c r="O124">
        <f t="shared" si="12"/>
        <v>13.942307692307693</v>
      </c>
      <c r="P124">
        <f t="shared" si="13"/>
        <v>140.14903846153845</v>
      </c>
      <c r="Q124">
        <f t="shared" si="10"/>
        <v>0</v>
      </c>
      <c r="R124">
        <f t="shared" si="11"/>
        <v>140.14903846153845</v>
      </c>
      <c r="S124">
        <v>123</v>
      </c>
    </row>
    <row r="125" spans="1:19" x14ac:dyDescent="0.25">
      <c r="A125">
        <v>13</v>
      </c>
      <c r="B125">
        <v>1</v>
      </c>
      <c r="C125">
        <v>93</v>
      </c>
      <c r="D125">
        <v>307</v>
      </c>
      <c r="E125">
        <v>5000</v>
      </c>
      <c r="F125">
        <v>12.5</v>
      </c>
      <c r="G125">
        <v>5</v>
      </c>
      <c r="H125">
        <v>78</v>
      </c>
      <c r="I125">
        <v>4.1666666666666599</v>
      </c>
      <c r="J125">
        <v>8.3333333333333304</v>
      </c>
      <c r="K125">
        <v>332.58333333333297</v>
      </c>
      <c r="L125">
        <v>271.183333333333</v>
      </c>
      <c r="M125">
        <v>61</v>
      </c>
      <c r="N125">
        <f t="shared" si="9"/>
        <v>16.666666666666668</v>
      </c>
      <c r="O125">
        <f t="shared" si="12"/>
        <v>14.583333333333334</v>
      </c>
      <c r="P125">
        <f t="shared" si="13"/>
        <v>351.77083333333337</v>
      </c>
      <c r="Q125">
        <f t="shared" si="10"/>
        <v>0</v>
      </c>
      <c r="R125">
        <f t="shared" si="11"/>
        <v>351.77083333333337</v>
      </c>
      <c r="S125">
        <v>307</v>
      </c>
    </row>
    <row r="126" spans="1:19" x14ac:dyDescent="0.25">
      <c r="A126">
        <v>14</v>
      </c>
      <c r="B126">
        <v>1</v>
      </c>
      <c r="C126">
        <v>104</v>
      </c>
      <c r="D126">
        <v>30</v>
      </c>
      <c r="E126">
        <v>5000</v>
      </c>
      <c r="F126">
        <v>12.5</v>
      </c>
      <c r="G126">
        <v>5</v>
      </c>
      <c r="H126">
        <v>78</v>
      </c>
      <c r="I126">
        <v>4.4871794871794801</v>
      </c>
      <c r="J126">
        <v>8.4935897435897392</v>
      </c>
      <c r="K126">
        <v>32.548076923076898</v>
      </c>
      <c r="L126">
        <v>26.548076923076898</v>
      </c>
      <c r="M126">
        <v>6</v>
      </c>
      <c r="N126">
        <f t="shared" si="9"/>
        <v>17.948717948717949</v>
      </c>
      <c r="O126">
        <f t="shared" si="12"/>
        <v>15.224358974358974</v>
      </c>
      <c r="P126">
        <f t="shared" si="13"/>
        <v>34.567307692307693</v>
      </c>
      <c r="Q126">
        <f t="shared" si="10"/>
        <v>0</v>
      </c>
      <c r="R126">
        <f t="shared" si="11"/>
        <v>34.567307692307693</v>
      </c>
      <c r="S126">
        <v>30</v>
      </c>
    </row>
    <row r="127" spans="1:19" x14ac:dyDescent="0.25">
      <c r="A127">
        <v>14</v>
      </c>
      <c r="B127">
        <v>2</v>
      </c>
      <c r="C127">
        <v>105</v>
      </c>
      <c r="D127">
        <v>30</v>
      </c>
      <c r="E127">
        <v>5000</v>
      </c>
      <c r="F127">
        <v>12.5</v>
      </c>
      <c r="G127">
        <v>5</v>
      </c>
      <c r="H127">
        <v>78</v>
      </c>
      <c r="I127">
        <v>4.4871794871794801</v>
      </c>
      <c r="J127">
        <v>8.4935897435897392</v>
      </c>
      <c r="K127">
        <v>32.548076923076898</v>
      </c>
      <c r="L127">
        <v>53.096153846153797</v>
      </c>
      <c r="M127">
        <v>-20</v>
      </c>
      <c r="N127">
        <f t="shared" si="9"/>
        <v>17.948717948717949</v>
      </c>
      <c r="O127">
        <f t="shared" si="12"/>
        <v>15.224358974358974</v>
      </c>
      <c r="P127">
        <f t="shared" si="13"/>
        <v>34.567307692307693</v>
      </c>
      <c r="Q127">
        <f t="shared" si="10"/>
        <v>0.91346153846153866</v>
      </c>
      <c r="R127">
        <f t="shared" si="11"/>
        <v>33.653846153846153</v>
      </c>
      <c r="S127">
        <v>30</v>
      </c>
    </row>
    <row r="128" spans="1:19" x14ac:dyDescent="0.25">
      <c r="A128">
        <v>14</v>
      </c>
      <c r="B128">
        <v>3</v>
      </c>
      <c r="C128">
        <v>106</v>
      </c>
      <c r="D128">
        <v>30</v>
      </c>
      <c r="E128">
        <v>5000</v>
      </c>
      <c r="F128">
        <v>12.5</v>
      </c>
      <c r="G128">
        <v>5</v>
      </c>
      <c r="H128">
        <v>78</v>
      </c>
      <c r="I128">
        <v>4.4871794871794801</v>
      </c>
      <c r="J128">
        <v>8.4935897435897392</v>
      </c>
      <c r="K128">
        <v>32.548076923076898</v>
      </c>
      <c r="L128">
        <v>79.644230769230703</v>
      </c>
      <c r="M128">
        <v>-47</v>
      </c>
      <c r="N128">
        <f t="shared" si="9"/>
        <v>17.948717948717949</v>
      </c>
      <c r="O128">
        <f t="shared" si="12"/>
        <v>15.224358974358974</v>
      </c>
      <c r="P128">
        <f t="shared" si="13"/>
        <v>34.567307692307693</v>
      </c>
      <c r="Q128">
        <f t="shared" si="10"/>
        <v>1.8269230769230773</v>
      </c>
      <c r="R128">
        <f t="shared" si="11"/>
        <v>32.740384615384613</v>
      </c>
      <c r="S128">
        <v>30</v>
      </c>
    </row>
    <row r="129" spans="1:19" x14ac:dyDescent="0.25">
      <c r="A129">
        <v>14</v>
      </c>
      <c r="B129">
        <v>4</v>
      </c>
      <c r="C129">
        <v>107</v>
      </c>
      <c r="D129">
        <v>30</v>
      </c>
      <c r="E129">
        <v>5000</v>
      </c>
      <c r="F129">
        <v>12.5</v>
      </c>
      <c r="G129">
        <v>5</v>
      </c>
      <c r="H129">
        <v>78</v>
      </c>
      <c r="I129">
        <v>4.4871794871794801</v>
      </c>
      <c r="J129">
        <v>8.4935897435897392</v>
      </c>
      <c r="K129">
        <v>32.548076923076898</v>
      </c>
      <c r="L129">
        <v>106.192307692307</v>
      </c>
      <c r="M129">
        <v>-73</v>
      </c>
      <c r="N129">
        <f t="shared" si="9"/>
        <v>17.948717948717949</v>
      </c>
      <c r="O129">
        <f t="shared" si="12"/>
        <v>15.224358974358974</v>
      </c>
      <c r="P129">
        <f t="shared" si="13"/>
        <v>34.567307692307693</v>
      </c>
      <c r="Q129">
        <f t="shared" si="10"/>
        <v>2.7403846153846159</v>
      </c>
      <c r="R129">
        <f t="shared" si="11"/>
        <v>31.826923076923077</v>
      </c>
      <c r="S129">
        <v>30</v>
      </c>
    </row>
    <row r="130" spans="1:19" x14ac:dyDescent="0.25">
      <c r="A130">
        <v>14</v>
      </c>
      <c r="B130">
        <v>5</v>
      </c>
      <c r="C130">
        <v>108</v>
      </c>
      <c r="D130">
        <v>30</v>
      </c>
      <c r="E130">
        <v>5000</v>
      </c>
      <c r="F130">
        <v>12.5</v>
      </c>
      <c r="G130">
        <v>5</v>
      </c>
      <c r="H130">
        <v>78</v>
      </c>
      <c r="I130">
        <v>4.4871794871794801</v>
      </c>
      <c r="J130">
        <v>8.4935897435897392</v>
      </c>
      <c r="K130">
        <v>32.548076923076898</v>
      </c>
      <c r="L130">
        <v>132.74038461538399</v>
      </c>
      <c r="M130">
        <v>-100</v>
      </c>
      <c r="N130">
        <f t="shared" si="9"/>
        <v>17.948717948717949</v>
      </c>
      <c r="O130">
        <f t="shared" ref="O130:O131" si="14">(F130 + N130) / 2</f>
        <v>15.224358974358974</v>
      </c>
      <c r="P130">
        <f t="shared" ref="P130:P131" si="15">D130 + ((D130 * O130) / 100)</f>
        <v>34.567307692307693</v>
      </c>
      <c r="Q130">
        <f t="shared" si="10"/>
        <v>3.6538461538461546</v>
      </c>
      <c r="R130">
        <f t="shared" si="11"/>
        <v>30.91346153846154</v>
      </c>
      <c r="S130">
        <v>30</v>
      </c>
    </row>
    <row r="131" spans="1:19" x14ac:dyDescent="0.25">
      <c r="A131">
        <v>14</v>
      </c>
      <c r="B131">
        <v>6</v>
      </c>
      <c r="C131">
        <v>120</v>
      </c>
      <c r="D131">
        <v>30</v>
      </c>
      <c r="E131">
        <v>5000</v>
      </c>
      <c r="F131">
        <v>12.5</v>
      </c>
      <c r="G131">
        <v>5</v>
      </c>
      <c r="H131">
        <v>78</v>
      </c>
      <c r="I131">
        <v>4.4871794871794801</v>
      </c>
      <c r="J131">
        <v>8.4935897435897392</v>
      </c>
      <c r="K131">
        <v>32.548076923076898</v>
      </c>
      <c r="L131">
        <v>159.28846153846101</v>
      </c>
      <c r="M131">
        <v>30</v>
      </c>
      <c r="N131">
        <f t="shared" ref="N131" si="16" xml:space="preserve"> 100 * A131 / H131</f>
        <v>17.948717948717949</v>
      </c>
      <c r="O131">
        <f t="shared" si="14"/>
        <v>15.224358974358974</v>
      </c>
      <c r="P131">
        <f t="shared" si="15"/>
        <v>34.567307692307693</v>
      </c>
      <c r="Q131">
        <f t="shared" ref="Q131" si="17">((P131-D131) / G131) * (B131 - 1)</f>
        <v>4.5673076923076934</v>
      </c>
      <c r="R131">
        <f t="shared" ref="R131" si="18">P131 - Q131</f>
        <v>30</v>
      </c>
      <c r="S131">
        <v>30</v>
      </c>
    </row>
  </sheetData>
  <autoFilter ref="A1:M131" xr:uid="{8A7442BC-5012-4D5E-8B1C-8176FB76B88E}">
    <sortState xmlns:xlrd2="http://schemas.microsoft.com/office/spreadsheetml/2017/richdata2" ref="A2:M131">
      <sortCondition ref="A1:A1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56C4-F14F-4A3C-B058-85825EDE54D8}">
  <dimension ref="A1:M124"/>
  <sheetViews>
    <sheetView workbookViewId="0">
      <pane ySplit="1" topLeftCell="A2" activePane="bottomLeft" state="frozen"/>
      <selection pane="bottomLeft" activeCell="C37" sqref="C37"/>
    </sheetView>
  </sheetViews>
  <sheetFormatPr baseColWidth="10" defaultRowHeight="15" x14ac:dyDescent="0.25"/>
  <cols>
    <col min="1" max="1" width="10.85546875" bestFit="1" customWidth="1"/>
    <col min="2" max="2" width="15.140625" bestFit="1" customWidth="1"/>
    <col min="3" max="3" width="15.5703125" bestFit="1" customWidth="1"/>
    <col min="4" max="4" width="17" bestFit="1" customWidth="1"/>
    <col min="5" max="5" width="12" bestFit="1" customWidth="1"/>
    <col min="6" max="6" width="19.42578125" bestFit="1" customWidth="1"/>
    <col min="7" max="7" width="16.140625" bestFit="1" customWidth="1"/>
    <col min="8" max="8" width="17.5703125" bestFit="1" customWidth="1"/>
    <col min="9" max="9" width="15.140625" bestFit="1" customWidth="1"/>
    <col min="10" max="10" width="12" bestFit="1" customWidth="1"/>
    <col min="11" max="11" width="16.42578125" bestFit="1" customWidth="1"/>
    <col min="12" max="12" width="22" bestFit="1" customWidth="1"/>
    <col min="13" max="13" width="15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>
        <v>1</v>
      </c>
      <c r="C2">
        <v>1</v>
      </c>
      <c r="D2">
        <v>34</v>
      </c>
      <c r="E2">
        <v>5000</v>
      </c>
      <c r="F2">
        <v>12.5</v>
      </c>
      <c r="G2">
        <v>5</v>
      </c>
      <c r="H2">
        <v>78</v>
      </c>
      <c r="I2">
        <v>1.2820512820512799</v>
      </c>
      <c r="J2">
        <v>6.8910256410256396</v>
      </c>
      <c r="K2">
        <v>36.342948717948701</v>
      </c>
      <c r="L2">
        <v>0</v>
      </c>
      <c r="M2">
        <v>36</v>
      </c>
    </row>
    <row r="3" spans="1:13" x14ac:dyDescent="0.25">
      <c r="A3">
        <v>1</v>
      </c>
      <c r="B3">
        <v>2</v>
      </c>
      <c r="C3">
        <v>5</v>
      </c>
      <c r="D3">
        <v>34</v>
      </c>
      <c r="E3">
        <v>5000</v>
      </c>
      <c r="F3">
        <v>12.5</v>
      </c>
      <c r="G3">
        <v>5</v>
      </c>
      <c r="H3">
        <v>78</v>
      </c>
      <c r="I3">
        <v>1.2820512820512799</v>
      </c>
      <c r="J3">
        <v>6.8910256410256396</v>
      </c>
      <c r="K3">
        <v>36.342948717948701</v>
      </c>
      <c r="L3">
        <v>0.46858974358974298</v>
      </c>
      <c r="M3">
        <v>35</v>
      </c>
    </row>
    <row r="4" spans="1:13" x14ac:dyDescent="0.25">
      <c r="A4">
        <v>1</v>
      </c>
      <c r="B4">
        <v>3</v>
      </c>
      <c r="C4">
        <v>12</v>
      </c>
      <c r="D4">
        <v>34</v>
      </c>
      <c r="E4">
        <v>5000</v>
      </c>
      <c r="F4">
        <v>12.5</v>
      </c>
      <c r="G4">
        <v>5</v>
      </c>
      <c r="H4">
        <v>78</v>
      </c>
      <c r="I4">
        <v>1.2820512820512799</v>
      </c>
      <c r="J4">
        <v>6.8910256410256396</v>
      </c>
      <c r="K4">
        <v>36.342948717948701</v>
      </c>
      <c r="L4">
        <v>0.93717948717948596</v>
      </c>
      <c r="M4">
        <v>35</v>
      </c>
    </row>
    <row r="5" spans="1:13" x14ac:dyDescent="0.25">
      <c r="A5">
        <v>1</v>
      </c>
      <c r="B5">
        <v>4</v>
      </c>
      <c r="C5">
        <v>13</v>
      </c>
      <c r="D5">
        <v>34</v>
      </c>
      <c r="E5">
        <v>5000</v>
      </c>
      <c r="F5">
        <v>12.5</v>
      </c>
      <c r="G5">
        <v>5</v>
      </c>
      <c r="H5">
        <v>78</v>
      </c>
      <c r="I5">
        <v>1.2820512820512799</v>
      </c>
      <c r="J5">
        <v>6.8910256410256396</v>
      </c>
      <c r="K5">
        <v>36.342948717948701</v>
      </c>
      <c r="L5">
        <v>1.40576923076922</v>
      </c>
      <c r="M5">
        <v>34</v>
      </c>
    </row>
    <row r="6" spans="1:13" x14ac:dyDescent="0.25">
      <c r="A6">
        <v>1</v>
      </c>
      <c r="B6">
        <v>5</v>
      </c>
      <c r="C6">
        <v>21</v>
      </c>
      <c r="D6">
        <v>34</v>
      </c>
      <c r="E6">
        <v>5000</v>
      </c>
      <c r="F6">
        <v>12.5</v>
      </c>
      <c r="G6">
        <v>5</v>
      </c>
      <c r="H6">
        <v>78</v>
      </c>
      <c r="I6">
        <v>1.2820512820512799</v>
      </c>
      <c r="J6">
        <v>6.8910256410256396</v>
      </c>
      <c r="K6">
        <v>36.342948717948701</v>
      </c>
      <c r="L6">
        <v>1.8743589743589699</v>
      </c>
      <c r="M6">
        <v>34</v>
      </c>
    </row>
    <row r="7" spans="1:13" x14ac:dyDescent="0.25">
      <c r="A7">
        <v>1</v>
      </c>
      <c r="B7">
        <v>6</v>
      </c>
      <c r="C7">
        <v>23</v>
      </c>
      <c r="D7">
        <v>34</v>
      </c>
      <c r="E7">
        <v>5000</v>
      </c>
      <c r="F7">
        <v>12.5</v>
      </c>
      <c r="G7">
        <v>5</v>
      </c>
      <c r="H7">
        <v>78</v>
      </c>
      <c r="I7">
        <v>1.2820512820512799</v>
      </c>
      <c r="J7">
        <v>6.8910256410256396</v>
      </c>
      <c r="K7">
        <v>36.342948717948701</v>
      </c>
      <c r="L7">
        <v>0</v>
      </c>
      <c r="M7">
        <v>34</v>
      </c>
    </row>
    <row r="8" spans="1:13" x14ac:dyDescent="0.25">
      <c r="A8">
        <v>1</v>
      </c>
      <c r="B8">
        <v>7</v>
      </c>
      <c r="C8">
        <v>27</v>
      </c>
      <c r="D8">
        <v>34</v>
      </c>
      <c r="E8">
        <v>5000</v>
      </c>
      <c r="F8">
        <v>12.5</v>
      </c>
      <c r="G8">
        <v>5</v>
      </c>
      <c r="H8">
        <v>78</v>
      </c>
      <c r="I8">
        <v>1.2820512820512799</v>
      </c>
      <c r="J8">
        <v>6.8910256410256396</v>
      </c>
      <c r="K8">
        <v>36.342948717948701</v>
      </c>
      <c r="L8">
        <v>0</v>
      </c>
      <c r="M8">
        <v>34</v>
      </c>
    </row>
    <row r="9" spans="1:13" x14ac:dyDescent="0.25">
      <c r="A9">
        <v>1</v>
      </c>
      <c r="B9">
        <v>8</v>
      </c>
      <c r="C9">
        <v>30</v>
      </c>
      <c r="D9">
        <v>34</v>
      </c>
      <c r="E9">
        <v>5000</v>
      </c>
      <c r="F9">
        <v>12.5</v>
      </c>
      <c r="G9">
        <v>5</v>
      </c>
      <c r="H9">
        <v>78</v>
      </c>
      <c r="I9">
        <v>1.2820512820512799</v>
      </c>
      <c r="J9">
        <v>6.8910256410256396</v>
      </c>
      <c r="K9">
        <v>36.342948717948701</v>
      </c>
      <c r="L9">
        <v>0</v>
      </c>
      <c r="M9">
        <v>34</v>
      </c>
    </row>
    <row r="10" spans="1:13" x14ac:dyDescent="0.25">
      <c r="A10">
        <v>1</v>
      </c>
      <c r="B10">
        <v>9</v>
      </c>
      <c r="C10">
        <v>37</v>
      </c>
      <c r="D10">
        <v>34</v>
      </c>
      <c r="E10">
        <v>5000</v>
      </c>
      <c r="F10">
        <v>12.5</v>
      </c>
      <c r="G10">
        <v>5</v>
      </c>
      <c r="H10">
        <v>78</v>
      </c>
      <c r="I10">
        <v>1.2820512820512799</v>
      </c>
      <c r="J10">
        <v>6.8910256410256396</v>
      </c>
      <c r="K10">
        <v>36.342948717948701</v>
      </c>
      <c r="L10">
        <v>0</v>
      </c>
      <c r="M10">
        <v>34</v>
      </c>
    </row>
    <row r="11" spans="1:13" x14ac:dyDescent="0.25">
      <c r="A11">
        <v>1</v>
      </c>
      <c r="B11">
        <v>10</v>
      </c>
      <c r="C11">
        <v>39</v>
      </c>
      <c r="D11">
        <v>34</v>
      </c>
      <c r="E11">
        <v>5000</v>
      </c>
      <c r="F11">
        <v>12.5</v>
      </c>
      <c r="G11">
        <v>5</v>
      </c>
      <c r="H11">
        <v>78</v>
      </c>
      <c r="I11">
        <v>1.2820512820512799</v>
      </c>
      <c r="J11">
        <v>6.8910256410256396</v>
      </c>
      <c r="K11">
        <v>36.342948717948701</v>
      </c>
      <c r="L11" s="1">
        <v>2.2353714661406901E-5</v>
      </c>
      <c r="M11">
        <v>34</v>
      </c>
    </row>
    <row r="12" spans="1:13" x14ac:dyDescent="0.25">
      <c r="A12">
        <v>1</v>
      </c>
      <c r="B12">
        <v>11</v>
      </c>
      <c r="C12">
        <v>46</v>
      </c>
      <c r="D12">
        <v>34</v>
      </c>
      <c r="E12">
        <v>5000</v>
      </c>
      <c r="F12">
        <v>12.5</v>
      </c>
      <c r="G12">
        <v>5</v>
      </c>
      <c r="H12">
        <v>78</v>
      </c>
      <c r="I12">
        <v>1.2820512820512799</v>
      </c>
      <c r="J12">
        <v>6.8910256410256396</v>
      </c>
      <c r="K12">
        <v>36.342948717948701</v>
      </c>
      <c r="L12" s="1">
        <v>2.0847268673355599E-5</v>
      </c>
      <c r="M12">
        <v>34</v>
      </c>
    </row>
    <row r="13" spans="1:13" x14ac:dyDescent="0.25">
      <c r="A13">
        <v>2</v>
      </c>
      <c r="B13">
        <v>1</v>
      </c>
      <c r="C13">
        <v>2</v>
      </c>
      <c r="D13">
        <v>45</v>
      </c>
      <c r="E13">
        <v>5000</v>
      </c>
      <c r="F13">
        <v>12.5</v>
      </c>
      <c r="G13">
        <v>5</v>
      </c>
      <c r="H13">
        <v>78</v>
      </c>
      <c r="I13">
        <v>2.5641025641025599</v>
      </c>
      <c r="J13">
        <v>7.5320512820512802</v>
      </c>
      <c r="K13">
        <v>48.389423076923002</v>
      </c>
      <c r="L13">
        <v>0</v>
      </c>
      <c r="M13">
        <v>48</v>
      </c>
    </row>
    <row r="14" spans="1:13" x14ac:dyDescent="0.25">
      <c r="A14">
        <v>2</v>
      </c>
      <c r="B14">
        <v>2</v>
      </c>
      <c r="C14">
        <v>4</v>
      </c>
      <c r="D14">
        <v>45</v>
      </c>
      <c r="E14">
        <v>5000</v>
      </c>
      <c r="F14">
        <v>12.5</v>
      </c>
      <c r="G14">
        <v>5</v>
      </c>
      <c r="H14">
        <v>78</v>
      </c>
      <c r="I14">
        <v>2.5641025641025599</v>
      </c>
      <c r="J14">
        <v>7.5320512820512802</v>
      </c>
      <c r="K14">
        <v>48.389423076923002</v>
      </c>
      <c r="L14">
        <v>0.67788461538461597</v>
      </c>
      <c r="M14">
        <v>47</v>
      </c>
    </row>
    <row r="15" spans="1:13" x14ac:dyDescent="0.25">
      <c r="A15">
        <v>2</v>
      </c>
      <c r="B15">
        <v>3</v>
      </c>
      <c r="C15">
        <v>6</v>
      </c>
      <c r="D15">
        <v>45</v>
      </c>
      <c r="E15">
        <v>5000</v>
      </c>
      <c r="F15">
        <v>12.5</v>
      </c>
      <c r="G15">
        <v>5</v>
      </c>
      <c r="H15">
        <v>78</v>
      </c>
      <c r="I15">
        <v>2.5641025641025599</v>
      </c>
      <c r="J15">
        <v>7.5320512820512802</v>
      </c>
      <c r="K15">
        <v>48.389423076923002</v>
      </c>
      <c r="L15">
        <v>1.3557692307692299</v>
      </c>
      <c r="M15">
        <v>46</v>
      </c>
    </row>
    <row r="16" spans="1:13" x14ac:dyDescent="0.25">
      <c r="A16">
        <v>2</v>
      </c>
      <c r="B16">
        <v>4</v>
      </c>
      <c r="C16">
        <v>7</v>
      </c>
      <c r="D16">
        <v>45</v>
      </c>
      <c r="E16">
        <v>5000</v>
      </c>
      <c r="F16">
        <v>12.5</v>
      </c>
      <c r="G16">
        <v>5</v>
      </c>
      <c r="H16">
        <v>78</v>
      </c>
      <c r="I16">
        <v>2.5641025641025599</v>
      </c>
      <c r="J16">
        <v>7.5320512820512802</v>
      </c>
      <c r="K16">
        <v>48.389423076923002</v>
      </c>
      <c r="L16">
        <v>2.03365384615384</v>
      </c>
      <c r="M16">
        <v>45</v>
      </c>
    </row>
    <row r="17" spans="1:13" x14ac:dyDescent="0.25">
      <c r="A17">
        <v>2</v>
      </c>
      <c r="B17">
        <v>5</v>
      </c>
      <c r="C17">
        <v>10</v>
      </c>
      <c r="D17">
        <v>45</v>
      </c>
      <c r="E17">
        <v>5000</v>
      </c>
      <c r="F17">
        <v>12.5</v>
      </c>
      <c r="G17">
        <v>5</v>
      </c>
      <c r="H17">
        <v>78</v>
      </c>
      <c r="I17">
        <v>2.5641025641025599</v>
      </c>
      <c r="J17">
        <v>7.5320512820512802</v>
      </c>
      <c r="K17">
        <v>48.389423076923002</v>
      </c>
      <c r="L17">
        <v>2.7115384615384599</v>
      </c>
      <c r="M17">
        <v>45</v>
      </c>
    </row>
    <row r="18" spans="1:13" x14ac:dyDescent="0.25">
      <c r="A18">
        <v>2</v>
      </c>
      <c r="B18">
        <v>6</v>
      </c>
      <c r="C18">
        <v>16</v>
      </c>
      <c r="D18">
        <v>45</v>
      </c>
      <c r="E18">
        <v>5000</v>
      </c>
      <c r="F18">
        <v>12.5</v>
      </c>
      <c r="G18">
        <v>5</v>
      </c>
      <c r="H18">
        <v>78</v>
      </c>
      <c r="I18">
        <v>2.5641025641025599</v>
      </c>
      <c r="J18">
        <v>7.5320512820512802</v>
      </c>
      <c r="K18">
        <v>48.389423076923002</v>
      </c>
      <c r="L18">
        <v>0</v>
      </c>
      <c r="M18">
        <v>45</v>
      </c>
    </row>
    <row r="19" spans="1:13" x14ac:dyDescent="0.25">
      <c r="A19">
        <v>2</v>
      </c>
      <c r="B19">
        <v>7</v>
      </c>
      <c r="C19">
        <v>18</v>
      </c>
      <c r="D19">
        <v>45</v>
      </c>
      <c r="E19">
        <v>5000</v>
      </c>
      <c r="F19">
        <v>12.5</v>
      </c>
      <c r="G19">
        <v>5</v>
      </c>
      <c r="H19">
        <v>78</v>
      </c>
      <c r="I19">
        <v>2.5641025641025599</v>
      </c>
      <c r="J19">
        <v>7.5320512820512802</v>
      </c>
      <c r="K19">
        <v>48.389423076923002</v>
      </c>
      <c r="L19">
        <v>0</v>
      </c>
      <c r="M19">
        <v>45</v>
      </c>
    </row>
    <row r="20" spans="1:13" x14ac:dyDescent="0.25">
      <c r="A20">
        <v>2</v>
      </c>
      <c r="B20">
        <v>8</v>
      </c>
      <c r="C20">
        <v>22</v>
      </c>
      <c r="D20">
        <v>45</v>
      </c>
      <c r="E20">
        <v>5000</v>
      </c>
      <c r="F20">
        <v>12.5</v>
      </c>
      <c r="G20">
        <v>5</v>
      </c>
      <c r="H20">
        <v>78</v>
      </c>
      <c r="I20">
        <v>2.5641025641025599</v>
      </c>
      <c r="J20">
        <v>7.5320512820512802</v>
      </c>
      <c r="K20">
        <v>48.389423076923002</v>
      </c>
      <c r="L20">
        <v>0</v>
      </c>
      <c r="M20">
        <v>45</v>
      </c>
    </row>
    <row r="21" spans="1:13" x14ac:dyDescent="0.25">
      <c r="A21">
        <v>2</v>
      </c>
      <c r="B21">
        <v>9</v>
      </c>
      <c r="C21">
        <v>26</v>
      </c>
      <c r="D21">
        <v>45</v>
      </c>
      <c r="E21">
        <v>5000</v>
      </c>
      <c r="F21">
        <v>12.5</v>
      </c>
      <c r="G21">
        <v>5</v>
      </c>
      <c r="H21">
        <v>78</v>
      </c>
      <c r="I21">
        <v>2.5641025641025599</v>
      </c>
      <c r="J21">
        <v>7.5320512820512802</v>
      </c>
      <c r="K21">
        <v>48.389423076923002</v>
      </c>
      <c r="L21">
        <v>0</v>
      </c>
      <c r="M21">
        <v>45</v>
      </c>
    </row>
    <row r="22" spans="1:13" x14ac:dyDescent="0.25">
      <c r="A22">
        <v>2</v>
      </c>
      <c r="B22">
        <v>10</v>
      </c>
      <c r="C22">
        <v>32</v>
      </c>
      <c r="D22">
        <v>45</v>
      </c>
      <c r="E22">
        <v>5000</v>
      </c>
      <c r="F22">
        <v>12.5</v>
      </c>
      <c r="G22">
        <v>5</v>
      </c>
      <c r="H22">
        <v>78</v>
      </c>
      <c r="I22">
        <v>2.5641025641025599</v>
      </c>
      <c r="J22">
        <v>7.5320512820512802</v>
      </c>
      <c r="K22">
        <v>48.389423076923002</v>
      </c>
      <c r="L22" s="1">
        <v>7.2115384615384595E-5</v>
      </c>
      <c r="M22">
        <v>45</v>
      </c>
    </row>
    <row r="23" spans="1:13" x14ac:dyDescent="0.25">
      <c r="A23">
        <v>2</v>
      </c>
      <c r="B23">
        <v>11</v>
      </c>
      <c r="C23">
        <v>33</v>
      </c>
      <c r="D23">
        <v>45</v>
      </c>
      <c r="E23">
        <v>5000</v>
      </c>
      <c r="F23">
        <v>12.5</v>
      </c>
      <c r="G23">
        <v>5</v>
      </c>
      <c r="H23">
        <v>78</v>
      </c>
      <c r="I23">
        <v>2.5641025641025599</v>
      </c>
      <c r="J23">
        <v>7.5320512820512802</v>
      </c>
      <c r="K23">
        <v>48.389423076923002</v>
      </c>
      <c r="L23" s="1">
        <v>7.6923076923076899E-5</v>
      </c>
      <c r="M23">
        <v>45</v>
      </c>
    </row>
    <row r="24" spans="1:13" x14ac:dyDescent="0.25">
      <c r="A24">
        <v>2</v>
      </c>
      <c r="B24">
        <v>12</v>
      </c>
      <c r="C24">
        <v>35</v>
      </c>
      <c r="D24">
        <v>45</v>
      </c>
      <c r="E24">
        <v>5000</v>
      </c>
      <c r="F24">
        <v>12.5</v>
      </c>
      <c r="G24">
        <v>5</v>
      </c>
      <c r="H24">
        <v>78</v>
      </c>
      <c r="I24">
        <v>2.5641025641025599</v>
      </c>
      <c r="J24">
        <v>7.5320512820512802</v>
      </c>
      <c r="K24">
        <v>48.389423076923002</v>
      </c>
      <c r="L24" s="1">
        <v>7.9120879120879095E-5</v>
      </c>
      <c r="M24">
        <v>45</v>
      </c>
    </row>
    <row r="25" spans="1:13" x14ac:dyDescent="0.25">
      <c r="A25">
        <v>2</v>
      </c>
      <c r="B25">
        <v>13</v>
      </c>
      <c r="C25">
        <v>36</v>
      </c>
      <c r="D25">
        <v>45</v>
      </c>
      <c r="E25">
        <v>5000</v>
      </c>
      <c r="F25">
        <v>12.5</v>
      </c>
      <c r="G25">
        <v>5</v>
      </c>
      <c r="H25">
        <v>78</v>
      </c>
      <c r="I25">
        <v>2.5641025641025599</v>
      </c>
      <c r="J25">
        <v>7.5320512820512802</v>
      </c>
      <c r="K25">
        <v>48.389423076923002</v>
      </c>
      <c r="L25" s="1">
        <v>8.3333333333333303E-5</v>
      </c>
      <c r="M25">
        <v>45</v>
      </c>
    </row>
    <row r="26" spans="1:13" x14ac:dyDescent="0.25">
      <c r="A26">
        <v>2</v>
      </c>
      <c r="B26">
        <v>14</v>
      </c>
      <c r="C26">
        <v>43</v>
      </c>
      <c r="D26">
        <v>45</v>
      </c>
      <c r="E26">
        <v>5000</v>
      </c>
      <c r="F26">
        <v>12.5</v>
      </c>
      <c r="G26">
        <v>5</v>
      </c>
      <c r="H26">
        <v>78</v>
      </c>
      <c r="I26">
        <v>2.5641025641025599</v>
      </c>
      <c r="J26">
        <v>7.5320512820512802</v>
      </c>
      <c r="K26">
        <v>48.389423076923002</v>
      </c>
      <c r="L26" s="1">
        <v>7.5134168157423901E-5</v>
      </c>
      <c r="M26">
        <v>45</v>
      </c>
    </row>
    <row r="27" spans="1:13" x14ac:dyDescent="0.25">
      <c r="A27">
        <v>2</v>
      </c>
      <c r="B27">
        <v>15</v>
      </c>
      <c r="C27">
        <v>44</v>
      </c>
      <c r="D27">
        <v>45</v>
      </c>
      <c r="E27">
        <v>5000</v>
      </c>
      <c r="F27">
        <v>12.5</v>
      </c>
      <c r="G27">
        <v>5</v>
      </c>
      <c r="H27">
        <v>78</v>
      </c>
      <c r="I27">
        <v>2.5641025641025599</v>
      </c>
      <c r="J27">
        <v>7.5320512820512802</v>
      </c>
      <c r="K27">
        <v>48.389423076923002</v>
      </c>
      <c r="L27" s="1">
        <v>7.8671328671328603E-5</v>
      </c>
      <c r="M27">
        <v>45</v>
      </c>
    </row>
    <row r="28" spans="1:13" x14ac:dyDescent="0.25">
      <c r="A28">
        <v>2</v>
      </c>
      <c r="B28">
        <v>16</v>
      </c>
      <c r="C28">
        <v>45</v>
      </c>
      <c r="D28">
        <v>45</v>
      </c>
      <c r="E28">
        <v>5000</v>
      </c>
      <c r="F28">
        <v>12.5</v>
      </c>
      <c r="G28">
        <v>5</v>
      </c>
      <c r="H28">
        <v>78</v>
      </c>
      <c r="I28">
        <v>2.5641025641025599</v>
      </c>
      <c r="J28">
        <v>7.5320512820512802</v>
      </c>
      <c r="K28">
        <v>48.389423076923002</v>
      </c>
      <c r="L28" s="1">
        <v>8.2051282051282006E-5</v>
      </c>
      <c r="M28">
        <v>45</v>
      </c>
    </row>
    <row r="29" spans="1:13" x14ac:dyDescent="0.25">
      <c r="A29">
        <v>3</v>
      </c>
      <c r="B29">
        <v>1</v>
      </c>
      <c r="C29">
        <v>3</v>
      </c>
      <c r="D29">
        <v>127</v>
      </c>
      <c r="E29">
        <v>5000</v>
      </c>
      <c r="F29">
        <v>12.5</v>
      </c>
      <c r="G29">
        <v>5</v>
      </c>
      <c r="H29">
        <v>78</v>
      </c>
      <c r="I29">
        <v>3.84615384615384</v>
      </c>
      <c r="J29">
        <v>8.1730769230769198</v>
      </c>
      <c r="K29">
        <v>137.379807692307</v>
      </c>
      <c r="L29">
        <v>0</v>
      </c>
      <c r="M29">
        <v>137</v>
      </c>
    </row>
    <row r="30" spans="1:13" x14ac:dyDescent="0.25">
      <c r="A30">
        <v>4</v>
      </c>
      <c r="B30">
        <v>1</v>
      </c>
      <c r="C30">
        <v>8</v>
      </c>
      <c r="D30">
        <v>39</v>
      </c>
      <c r="E30">
        <v>5000</v>
      </c>
      <c r="F30">
        <v>12.5</v>
      </c>
      <c r="G30">
        <v>5</v>
      </c>
      <c r="H30">
        <v>78</v>
      </c>
      <c r="I30">
        <v>5.1282051282051198</v>
      </c>
      <c r="J30">
        <v>8.8141025641025603</v>
      </c>
      <c r="K30">
        <v>42.4375</v>
      </c>
      <c r="L30">
        <v>0</v>
      </c>
      <c r="M30">
        <v>42</v>
      </c>
    </row>
    <row r="31" spans="1:13" x14ac:dyDescent="0.25">
      <c r="A31">
        <v>5</v>
      </c>
      <c r="B31">
        <v>1</v>
      </c>
      <c r="C31">
        <v>9</v>
      </c>
      <c r="D31">
        <v>43</v>
      </c>
      <c r="E31">
        <v>5000</v>
      </c>
      <c r="F31">
        <v>12.5</v>
      </c>
      <c r="G31">
        <v>5</v>
      </c>
      <c r="H31">
        <v>78</v>
      </c>
      <c r="I31">
        <v>6.4102564102564097</v>
      </c>
      <c r="J31">
        <v>9.4551282051282008</v>
      </c>
      <c r="K31">
        <v>47.065705128205103</v>
      </c>
      <c r="L31">
        <v>0</v>
      </c>
      <c r="M31">
        <v>47</v>
      </c>
    </row>
    <row r="32" spans="1:13" x14ac:dyDescent="0.25">
      <c r="A32">
        <v>5</v>
      </c>
      <c r="B32">
        <v>2</v>
      </c>
      <c r="C32">
        <v>14</v>
      </c>
      <c r="D32">
        <v>43</v>
      </c>
      <c r="E32">
        <v>5000</v>
      </c>
      <c r="F32">
        <v>12.5</v>
      </c>
      <c r="G32">
        <v>5</v>
      </c>
      <c r="H32">
        <v>78</v>
      </c>
      <c r="I32">
        <v>6.4102564102564097</v>
      </c>
      <c r="J32">
        <v>9.4551282051282008</v>
      </c>
      <c r="K32">
        <v>47.065705128205103</v>
      </c>
      <c r="L32">
        <v>0.81314102564102397</v>
      </c>
      <c r="M32">
        <v>46</v>
      </c>
    </row>
    <row r="33" spans="1:13" x14ac:dyDescent="0.25">
      <c r="A33">
        <v>5</v>
      </c>
      <c r="B33">
        <v>3</v>
      </c>
      <c r="C33">
        <v>15</v>
      </c>
      <c r="D33">
        <v>43</v>
      </c>
      <c r="E33">
        <v>5000</v>
      </c>
      <c r="F33">
        <v>12.5</v>
      </c>
      <c r="G33">
        <v>5</v>
      </c>
      <c r="H33">
        <v>78</v>
      </c>
      <c r="I33">
        <v>6.4102564102564097</v>
      </c>
      <c r="J33">
        <v>9.4551282051282008</v>
      </c>
      <c r="K33">
        <v>47.065705128205103</v>
      </c>
      <c r="L33">
        <v>1.62628205128204</v>
      </c>
      <c r="M33">
        <v>45</v>
      </c>
    </row>
    <row r="34" spans="1:13" x14ac:dyDescent="0.25">
      <c r="A34">
        <v>5</v>
      </c>
      <c r="B34">
        <v>4</v>
      </c>
      <c r="C34">
        <v>17</v>
      </c>
      <c r="D34">
        <v>43</v>
      </c>
      <c r="E34">
        <v>5000</v>
      </c>
      <c r="F34">
        <v>12.5</v>
      </c>
      <c r="G34">
        <v>5</v>
      </c>
      <c r="H34">
        <v>78</v>
      </c>
      <c r="I34">
        <v>6.4102564102564097</v>
      </c>
      <c r="J34">
        <v>9.4551282051282008</v>
      </c>
      <c r="K34">
        <v>47.065705128205103</v>
      </c>
      <c r="L34">
        <v>2.4394230769230698</v>
      </c>
      <c r="M34">
        <v>44</v>
      </c>
    </row>
    <row r="35" spans="1:13" x14ac:dyDescent="0.25">
      <c r="A35">
        <v>5</v>
      </c>
      <c r="B35">
        <v>5</v>
      </c>
      <c r="C35">
        <v>25</v>
      </c>
      <c r="D35">
        <v>43</v>
      </c>
      <c r="E35">
        <v>5000</v>
      </c>
      <c r="F35">
        <v>12.5</v>
      </c>
      <c r="G35">
        <v>5</v>
      </c>
      <c r="H35">
        <v>78</v>
      </c>
      <c r="I35">
        <v>6.4102564102564097</v>
      </c>
      <c r="J35">
        <v>9.4551282051282008</v>
      </c>
      <c r="K35">
        <v>47.065705128205103</v>
      </c>
      <c r="L35">
        <v>3.2525641025640901</v>
      </c>
      <c r="M35">
        <v>43</v>
      </c>
    </row>
    <row r="36" spans="1:13" x14ac:dyDescent="0.25">
      <c r="A36">
        <v>5</v>
      </c>
      <c r="B36">
        <v>6</v>
      </c>
      <c r="C36">
        <v>38</v>
      </c>
      <c r="D36">
        <v>43</v>
      </c>
      <c r="E36">
        <v>5000</v>
      </c>
      <c r="F36">
        <v>12.5</v>
      </c>
      <c r="G36">
        <v>5</v>
      </c>
      <c r="H36">
        <v>78</v>
      </c>
      <c r="I36">
        <v>6.4102564102564097</v>
      </c>
      <c r="J36">
        <v>9.4551282051282008</v>
      </c>
      <c r="K36">
        <v>47.065705128205103</v>
      </c>
      <c r="L36">
        <v>0</v>
      </c>
      <c r="M36">
        <v>43</v>
      </c>
    </row>
    <row r="37" spans="1:13" x14ac:dyDescent="0.25">
      <c r="A37">
        <v>5</v>
      </c>
      <c r="B37">
        <v>7</v>
      </c>
      <c r="C37">
        <v>40</v>
      </c>
      <c r="D37">
        <v>43</v>
      </c>
      <c r="E37">
        <v>5000</v>
      </c>
      <c r="F37">
        <v>12.5</v>
      </c>
      <c r="G37">
        <v>5</v>
      </c>
      <c r="H37">
        <v>78</v>
      </c>
      <c r="I37">
        <v>6.4102564102564097</v>
      </c>
      <c r="J37">
        <v>9.4551282051282008</v>
      </c>
      <c r="K37">
        <v>47.065705128205103</v>
      </c>
      <c r="L37">
        <v>0</v>
      </c>
      <c r="M37">
        <v>43</v>
      </c>
    </row>
    <row r="38" spans="1:13" x14ac:dyDescent="0.25">
      <c r="A38">
        <v>5</v>
      </c>
      <c r="B38">
        <v>8</v>
      </c>
      <c r="C38">
        <v>41</v>
      </c>
      <c r="D38">
        <v>43</v>
      </c>
      <c r="E38">
        <v>5000</v>
      </c>
      <c r="F38">
        <v>12.5</v>
      </c>
      <c r="G38">
        <v>5</v>
      </c>
      <c r="H38">
        <v>78</v>
      </c>
      <c r="I38">
        <v>6.4102564102564097</v>
      </c>
      <c r="J38">
        <v>9.4551282051282008</v>
      </c>
      <c r="K38">
        <v>47.065705128205103</v>
      </c>
      <c r="L38">
        <v>0</v>
      </c>
      <c r="M38">
        <v>43</v>
      </c>
    </row>
    <row r="39" spans="1:13" x14ac:dyDescent="0.25">
      <c r="A39">
        <v>5</v>
      </c>
      <c r="B39">
        <v>9</v>
      </c>
      <c r="C39">
        <v>42</v>
      </c>
      <c r="D39">
        <v>43</v>
      </c>
      <c r="E39">
        <v>5000</v>
      </c>
      <c r="F39">
        <v>12.5</v>
      </c>
      <c r="G39">
        <v>5</v>
      </c>
      <c r="H39">
        <v>78</v>
      </c>
      <c r="I39">
        <v>6.4102564102564097</v>
      </c>
      <c r="J39">
        <v>9.4551282051282008</v>
      </c>
      <c r="K39">
        <v>47.065705128205103</v>
      </c>
      <c r="L39">
        <v>0</v>
      </c>
      <c r="M39">
        <v>43</v>
      </c>
    </row>
    <row r="40" spans="1:13" x14ac:dyDescent="0.25">
      <c r="A40">
        <v>6</v>
      </c>
      <c r="B40">
        <v>1</v>
      </c>
      <c r="C40">
        <v>11</v>
      </c>
      <c r="D40">
        <v>83</v>
      </c>
      <c r="E40">
        <v>5000</v>
      </c>
      <c r="F40">
        <v>12.5</v>
      </c>
      <c r="G40">
        <v>5</v>
      </c>
      <c r="H40">
        <v>78</v>
      </c>
      <c r="I40">
        <v>7.6923076923076898</v>
      </c>
      <c r="J40">
        <v>10.096153846153801</v>
      </c>
      <c r="K40">
        <v>91.379807692307693</v>
      </c>
      <c r="L40">
        <v>0</v>
      </c>
      <c r="M40">
        <v>91</v>
      </c>
    </row>
    <row r="41" spans="1:13" x14ac:dyDescent="0.25">
      <c r="A41">
        <v>6</v>
      </c>
      <c r="B41">
        <v>2</v>
      </c>
      <c r="C41">
        <v>20</v>
      </c>
      <c r="D41">
        <v>83</v>
      </c>
      <c r="E41">
        <v>5000</v>
      </c>
      <c r="F41">
        <v>12.5</v>
      </c>
      <c r="G41">
        <v>5</v>
      </c>
      <c r="H41">
        <v>78</v>
      </c>
      <c r="I41">
        <v>7.6923076923076898</v>
      </c>
      <c r="J41">
        <v>10.096153846153801</v>
      </c>
      <c r="K41">
        <v>91.379807692307693</v>
      </c>
      <c r="L41">
        <v>1.6759615384615301</v>
      </c>
      <c r="M41">
        <v>89</v>
      </c>
    </row>
    <row r="42" spans="1:13" x14ac:dyDescent="0.25">
      <c r="A42">
        <v>6</v>
      </c>
      <c r="B42">
        <v>3</v>
      </c>
      <c r="C42">
        <v>24</v>
      </c>
      <c r="D42">
        <v>83</v>
      </c>
      <c r="E42">
        <v>5000</v>
      </c>
      <c r="F42">
        <v>12.5</v>
      </c>
      <c r="G42">
        <v>5</v>
      </c>
      <c r="H42">
        <v>78</v>
      </c>
      <c r="I42">
        <v>7.6923076923076898</v>
      </c>
      <c r="J42">
        <v>10.096153846153801</v>
      </c>
      <c r="K42">
        <v>91.379807692307693</v>
      </c>
      <c r="L42">
        <v>3.3519230769230699</v>
      </c>
      <c r="M42">
        <v>87</v>
      </c>
    </row>
    <row r="43" spans="1:13" x14ac:dyDescent="0.25">
      <c r="A43">
        <v>6</v>
      </c>
      <c r="B43">
        <v>4</v>
      </c>
      <c r="C43">
        <v>28</v>
      </c>
      <c r="D43">
        <v>83</v>
      </c>
      <c r="E43">
        <v>5000</v>
      </c>
      <c r="F43">
        <v>12.5</v>
      </c>
      <c r="G43">
        <v>5</v>
      </c>
      <c r="H43">
        <v>78</v>
      </c>
      <c r="I43">
        <v>7.6923076923076898</v>
      </c>
      <c r="J43">
        <v>10.096153846153801</v>
      </c>
      <c r="K43">
        <v>91.379807692307693</v>
      </c>
      <c r="L43">
        <v>5.0278846153846102</v>
      </c>
      <c r="M43">
        <v>85</v>
      </c>
    </row>
    <row r="44" spans="1:13" x14ac:dyDescent="0.25">
      <c r="A44">
        <v>6</v>
      </c>
      <c r="B44">
        <v>5</v>
      </c>
      <c r="C44">
        <v>47</v>
      </c>
      <c r="D44">
        <v>83</v>
      </c>
      <c r="E44">
        <v>5000</v>
      </c>
      <c r="F44">
        <v>12.5</v>
      </c>
      <c r="G44">
        <v>5</v>
      </c>
      <c r="H44">
        <v>78</v>
      </c>
      <c r="I44">
        <v>7.6923076923076898</v>
      </c>
      <c r="J44">
        <v>10.096153846153801</v>
      </c>
      <c r="K44">
        <v>91.379807692307693</v>
      </c>
      <c r="L44">
        <v>6.7038461538461496</v>
      </c>
      <c r="M44">
        <v>84</v>
      </c>
    </row>
    <row r="45" spans="1:13" x14ac:dyDescent="0.25">
      <c r="A45">
        <v>6</v>
      </c>
      <c r="B45">
        <v>6</v>
      </c>
      <c r="C45">
        <v>48</v>
      </c>
      <c r="D45">
        <v>83</v>
      </c>
      <c r="E45">
        <v>5000</v>
      </c>
      <c r="F45">
        <v>12.5</v>
      </c>
      <c r="G45">
        <v>5</v>
      </c>
      <c r="H45">
        <v>78</v>
      </c>
      <c r="I45">
        <v>7.6923076923076898</v>
      </c>
      <c r="J45">
        <v>10.096153846153801</v>
      </c>
      <c r="K45">
        <v>91.379807692307693</v>
      </c>
      <c r="L45">
        <v>0</v>
      </c>
      <c r="M45">
        <v>83</v>
      </c>
    </row>
    <row r="46" spans="1:13" x14ac:dyDescent="0.25">
      <c r="A46">
        <v>7</v>
      </c>
      <c r="B46">
        <v>1</v>
      </c>
      <c r="C46">
        <v>19</v>
      </c>
      <c r="D46">
        <v>6</v>
      </c>
      <c r="E46">
        <v>5000</v>
      </c>
      <c r="F46">
        <v>12.5</v>
      </c>
      <c r="G46">
        <v>5</v>
      </c>
      <c r="H46">
        <v>78</v>
      </c>
      <c r="I46">
        <v>8.9743589743589691</v>
      </c>
      <c r="J46">
        <v>10.7371794871794</v>
      </c>
      <c r="K46">
        <v>6.6442307692307603</v>
      </c>
      <c r="L46">
        <v>0</v>
      </c>
      <c r="M46">
        <v>6</v>
      </c>
    </row>
    <row r="47" spans="1:13" x14ac:dyDescent="0.25">
      <c r="A47">
        <v>8</v>
      </c>
      <c r="B47">
        <v>1</v>
      </c>
      <c r="C47">
        <v>29</v>
      </c>
      <c r="D47">
        <v>5</v>
      </c>
      <c r="E47">
        <v>5000</v>
      </c>
      <c r="F47">
        <v>12.5</v>
      </c>
      <c r="G47">
        <v>5</v>
      </c>
      <c r="H47">
        <v>78</v>
      </c>
      <c r="I47">
        <v>10.2564102564102</v>
      </c>
      <c r="J47">
        <v>11.378205128205099</v>
      </c>
      <c r="K47">
        <v>5.5689102564102502</v>
      </c>
      <c r="L47">
        <v>0</v>
      </c>
      <c r="M47">
        <v>5</v>
      </c>
    </row>
    <row r="48" spans="1:13" x14ac:dyDescent="0.25">
      <c r="A48">
        <v>8</v>
      </c>
      <c r="B48">
        <v>2</v>
      </c>
      <c r="C48">
        <v>86</v>
      </c>
      <c r="D48">
        <v>5</v>
      </c>
      <c r="E48">
        <v>5000</v>
      </c>
      <c r="F48">
        <v>12.5</v>
      </c>
      <c r="G48">
        <v>5</v>
      </c>
      <c r="H48">
        <v>78</v>
      </c>
      <c r="I48">
        <v>10.2564102564102</v>
      </c>
      <c r="J48">
        <v>11.378205128205099</v>
      </c>
      <c r="K48">
        <v>5.5689102564102502</v>
      </c>
      <c r="L48">
        <v>0.113782051282051</v>
      </c>
      <c r="M48">
        <v>4</v>
      </c>
    </row>
    <row r="49" spans="1:13" x14ac:dyDescent="0.25">
      <c r="A49">
        <v>8</v>
      </c>
      <c r="B49">
        <v>3</v>
      </c>
      <c r="C49">
        <v>87</v>
      </c>
      <c r="D49">
        <v>5</v>
      </c>
      <c r="E49">
        <v>5000</v>
      </c>
      <c r="F49">
        <v>12.5</v>
      </c>
      <c r="G49">
        <v>5</v>
      </c>
      <c r="H49">
        <v>78</v>
      </c>
      <c r="I49">
        <v>10.2564102564102</v>
      </c>
      <c r="J49">
        <v>11.378205128205099</v>
      </c>
      <c r="K49">
        <v>5.5689102564102502</v>
      </c>
      <c r="L49">
        <v>0.22756410256410201</v>
      </c>
      <c r="M49">
        <v>4</v>
      </c>
    </row>
    <row r="50" spans="1:13" x14ac:dyDescent="0.25">
      <c r="A50">
        <v>8</v>
      </c>
      <c r="B50">
        <v>4</v>
      </c>
      <c r="C50">
        <v>88</v>
      </c>
      <c r="D50">
        <v>5</v>
      </c>
      <c r="E50">
        <v>5000</v>
      </c>
      <c r="F50">
        <v>12.5</v>
      </c>
      <c r="G50">
        <v>5</v>
      </c>
      <c r="H50">
        <v>78</v>
      </c>
      <c r="I50">
        <v>10.2564102564102</v>
      </c>
      <c r="J50">
        <v>11.378205128205099</v>
      </c>
      <c r="K50">
        <v>5.5689102564102502</v>
      </c>
      <c r="L50">
        <v>0.34134615384615302</v>
      </c>
      <c r="M50">
        <v>4</v>
      </c>
    </row>
    <row r="51" spans="1:13" x14ac:dyDescent="0.25">
      <c r="A51">
        <v>8</v>
      </c>
      <c r="B51">
        <v>5</v>
      </c>
      <c r="C51">
        <v>100</v>
      </c>
      <c r="D51">
        <v>5</v>
      </c>
      <c r="E51">
        <v>5000</v>
      </c>
      <c r="F51">
        <v>12.5</v>
      </c>
      <c r="G51">
        <v>5</v>
      </c>
      <c r="H51">
        <v>78</v>
      </c>
      <c r="I51">
        <v>10.2564102564102</v>
      </c>
      <c r="J51">
        <v>11.378205128205099</v>
      </c>
      <c r="K51">
        <v>5.5689102564102502</v>
      </c>
      <c r="L51">
        <v>0.45512820512820501</v>
      </c>
      <c r="M51">
        <v>4</v>
      </c>
    </row>
    <row r="52" spans="1:13" x14ac:dyDescent="0.25">
      <c r="A52">
        <v>8</v>
      </c>
      <c r="B52">
        <v>6</v>
      </c>
      <c r="C52">
        <v>101</v>
      </c>
      <c r="D52">
        <v>5</v>
      </c>
      <c r="E52">
        <v>5000</v>
      </c>
      <c r="F52">
        <v>12.5</v>
      </c>
      <c r="G52">
        <v>5</v>
      </c>
      <c r="H52">
        <v>78</v>
      </c>
      <c r="I52">
        <v>10.2564102564102</v>
      </c>
      <c r="J52">
        <v>11.378205128205099</v>
      </c>
      <c r="K52">
        <v>5.5689102564102502</v>
      </c>
      <c r="L52">
        <v>0</v>
      </c>
      <c r="M52">
        <v>5</v>
      </c>
    </row>
    <row r="53" spans="1:13" x14ac:dyDescent="0.25">
      <c r="A53">
        <v>8</v>
      </c>
      <c r="B53">
        <v>7</v>
      </c>
      <c r="C53">
        <v>102</v>
      </c>
      <c r="D53">
        <v>5</v>
      </c>
      <c r="E53">
        <v>5000</v>
      </c>
      <c r="F53">
        <v>12.5</v>
      </c>
      <c r="G53">
        <v>5</v>
      </c>
      <c r="H53">
        <v>78</v>
      </c>
      <c r="I53">
        <v>10.2564102564102</v>
      </c>
      <c r="J53">
        <v>11.378205128205099</v>
      </c>
      <c r="K53">
        <v>5.5689102564102502</v>
      </c>
      <c r="L53">
        <v>0</v>
      </c>
      <c r="M53">
        <v>5</v>
      </c>
    </row>
    <row r="54" spans="1:13" x14ac:dyDescent="0.25">
      <c r="A54">
        <v>8</v>
      </c>
      <c r="B54">
        <v>8</v>
      </c>
      <c r="C54">
        <v>103</v>
      </c>
      <c r="D54">
        <v>5</v>
      </c>
      <c r="E54">
        <v>5000</v>
      </c>
      <c r="F54">
        <v>12.5</v>
      </c>
      <c r="G54">
        <v>5</v>
      </c>
      <c r="H54">
        <v>78</v>
      </c>
      <c r="I54">
        <v>10.2564102564102</v>
      </c>
      <c r="J54">
        <v>11.378205128205099</v>
      </c>
      <c r="K54">
        <v>5.5689102564102502</v>
      </c>
      <c r="L54">
        <v>0</v>
      </c>
      <c r="M54">
        <v>5</v>
      </c>
    </row>
    <row r="55" spans="1:13" x14ac:dyDescent="0.25">
      <c r="A55">
        <v>8</v>
      </c>
      <c r="B55">
        <v>9</v>
      </c>
      <c r="C55">
        <v>104</v>
      </c>
      <c r="D55">
        <v>5</v>
      </c>
      <c r="E55">
        <v>5000</v>
      </c>
      <c r="F55">
        <v>12.5</v>
      </c>
      <c r="G55">
        <v>5</v>
      </c>
      <c r="H55">
        <v>78</v>
      </c>
      <c r="I55">
        <v>10.2564102564102</v>
      </c>
      <c r="J55">
        <v>11.378205128205099</v>
      </c>
      <c r="K55">
        <v>5.5689102564102502</v>
      </c>
      <c r="L55">
        <v>0</v>
      </c>
      <c r="M55">
        <v>5</v>
      </c>
    </row>
    <row r="56" spans="1:13" x14ac:dyDescent="0.25">
      <c r="A56">
        <v>8</v>
      </c>
      <c r="B56">
        <v>10</v>
      </c>
      <c r="C56">
        <v>105</v>
      </c>
      <c r="D56">
        <v>5</v>
      </c>
      <c r="E56">
        <v>5000</v>
      </c>
      <c r="F56">
        <v>12.5</v>
      </c>
      <c r="G56">
        <v>5</v>
      </c>
      <c r="H56">
        <v>78</v>
      </c>
      <c r="I56">
        <v>10.2564102564102</v>
      </c>
      <c r="J56">
        <v>11.378205128205099</v>
      </c>
      <c r="K56">
        <v>5.5689102564102502</v>
      </c>
      <c r="L56" s="1">
        <v>9.7680097680097605E-6</v>
      </c>
      <c r="M56">
        <v>5</v>
      </c>
    </row>
    <row r="57" spans="1:13" x14ac:dyDescent="0.25">
      <c r="A57">
        <v>8</v>
      </c>
      <c r="B57">
        <v>11</v>
      </c>
      <c r="C57">
        <v>107</v>
      </c>
      <c r="D57">
        <v>5</v>
      </c>
      <c r="E57">
        <v>5000</v>
      </c>
      <c r="F57">
        <v>12.5</v>
      </c>
      <c r="G57">
        <v>5</v>
      </c>
      <c r="H57">
        <v>78</v>
      </c>
      <c r="I57">
        <v>10.2564102564102</v>
      </c>
      <c r="J57">
        <v>11.378205128205099</v>
      </c>
      <c r="K57">
        <v>5.5689102564102502</v>
      </c>
      <c r="L57" s="1">
        <v>1.0543973160795501E-5</v>
      </c>
      <c r="M57">
        <v>5</v>
      </c>
    </row>
    <row r="58" spans="1:13" x14ac:dyDescent="0.25">
      <c r="A58">
        <v>8</v>
      </c>
      <c r="B58">
        <v>12</v>
      </c>
      <c r="C58">
        <v>110</v>
      </c>
      <c r="D58">
        <v>5</v>
      </c>
      <c r="E58">
        <v>5000</v>
      </c>
      <c r="F58">
        <v>12.5</v>
      </c>
      <c r="G58">
        <v>5</v>
      </c>
      <c r="H58">
        <v>78</v>
      </c>
      <c r="I58">
        <v>10.2564102564102</v>
      </c>
      <c r="J58">
        <v>11.378205128205099</v>
      </c>
      <c r="K58">
        <v>5.5689102564102502</v>
      </c>
      <c r="L58" s="1">
        <v>1.11888111888111E-5</v>
      </c>
      <c r="M58">
        <v>5</v>
      </c>
    </row>
    <row r="59" spans="1:13" x14ac:dyDescent="0.25">
      <c r="A59">
        <v>9</v>
      </c>
      <c r="B59">
        <v>1</v>
      </c>
      <c r="C59">
        <v>31</v>
      </c>
      <c r="D59">
        <v>123</v>
      </c>
      <c r="E59">
        <v>5000</v>
      </c>
      <c r="F59">
        <v>12.5</v>
      </c>
      <c r="G59">
        <v>5</v>
      </c>
      <c r="H59">
        <v>78</v>
      </c>
      <c r="I59">
        <v>11.538461538461499</v>
      </c>
      <c r="J59">
        <v>12.019230769230701</v>
      </c>
      <c r="K59">
        <v>137.78365384615299</v>
      </c>
      <c r="L59">
        <v>0</v>
      </c>
      <c r="M59">
        <v>137</v>
      </c>
    </row>
    <row r="60" spans="1:13" x14ac:dyDescent="0.25">
      <c r="A60">
        <v>10</v>
      </c>
      <c r="B60">
        <v>1</v>
      </c>
      <c r="C60">
        <v>34</v>
      </c>
      <c r="D60">
        <v>45</v>
      </c>
      <c r="E60">
        <v>5000</v>
      </c>
      <c r="F60">
        <v>12.5</v>
      </c>
      <c r="G60">
        <v>5</v>
      </c>
      <c r="H60">
        <v>78</v>
      </c>
      <c r="I60">
        <v>12.8205128205128</v>
      </c>
      <c r="J60">
        <v>12.6602564102564</v>
      </c>
      <c r="K60">
        <v>50.697115384615302</v>
      </c>
      <c r="L60">
        <v>0</v>
      </c>
      <c r="M60">
        <v>50</v>
      </c>
    </row>
    <row r="61" spans="1:13" x14ac:dyDescent="0.25">
      <c r="A61">
        <v>11</v>
      </c>
      <c r="B61">
        <v>1</v>
      </c>
      <c r="C61">
        <v>49</v>
      </c>
      <c r="D61">
        <v>4</v>
      </c>
      <c r="E61">
        <v>5000</v>
      </c>
      <c r="F61">
        <v>12.5</v>
      </c>
      <c r="G61">
        <v>5</v>
      </c>
      <c r="H61">
        <v>78</v>
      </c>
      <c r="I61">
        <v>14.1025641025641</v>
      </c>
      <c r="J61">
        <v>13.301282051282</v>
      </c>
      <c r="K61">
        <v>4.5320512820512802</v>
      </c>
      <c r="L61">
        <v>0</v>
      </c>
      <c r="M61">
        <v>4</v>
      </c>
    </row>
    <row r="62" spans="1:13" x14ac:dyDescent="0.25">
      <c r="A62">
        <v>11</v>
      </c>
      <c r="B62">
        <v>2</v>
      </c>
      <c r="C62">
        <v>50</v>
      </c>
      <c r="D62">
        <v>4</v>
      </c>
      <c r="E62">
        <v>5000</v>
      </c>
      <c r="F62">
        <v>12.5</v>
      </c>
      <c r="G62">
        <v>5</v>
      </c>
      <c r="H62">
        <v>78</v>
      </c>
      <c r="I62">
        <v>14.1025641025641</v>
      </c>
      <c r="J62">
        <v>13.301282051282</v>
      </c>
      <c r="K62">
        <v>4.5320512820512802</v>
      </c>
      <c r="L62">
        <v>0.106410256410256</v>
      </c>
      <c r="M62">
        <v>3</v>
      </c>
    </row>
    <row r="63" spans="1:13" x14ac:dyDescent="0.25">
      <c r="A63">
        <v>11</v>
      </c>
      <c r="B63">
        <v>3</v>
      </c>
      <c r="C63">
        <v>51</v>
      </c>
      <c r="D63">
        <v>4</v>
      </c>
      <c r="E63">
        <v>5000</v>
      </c>
      <c r="F63">
        <v>12.5</v>
      </c>
      <c r="G63">
        <v>5</v>
      </c>
      <c r="H63">
        <v>78</v>
      </c>
      <c r="I63">
        <v>14.1025641025641</v>
      </c>
      <c r="J63">
        <v>13.301282051282</v>
      </c>
      <c r="K63">
        <v>4.5320512820512802</v>
      </c>
      <c r="L63">
        <v>0.21282051282051201</v>
      </c>
      <c r="M63">
        <v>3</v>
      </c>
    </row>
    <row r="64" spans="1:13" x14ac:dyDescent="0.25">
      <c r="A64">
        <v>11</v>
      </c>
      <c r="B64">
        <v>4</v>
      </c>
      <c r="C64">
        <v>59</v>
      </c>
      <c r="D64">
        <v>4</v>
      </c>
      <c r="E64">
        <v>5000</v>
      </c>
      <c r="F64">
        <v>12.5</v>
      </c>
      <c r="G64">
        <v>5</v>
      </c>
      <c r="H64">
        <v>78</v>
      </c>
      <c r="I64">
        <v>14.1025641025641</v>
      </c>
      <c r="J64">
        <v>13.301282051282</v>
      </c>
      <c r="K64">
        <v>4.5320512820512802</v>
      </c>
      <c r="L64">
        <v>0.31923076923076898</v>
      </c>
      <c r="M64">
        <v>3</v>
      </c>
    </row>
    <row r="65" spans="1:13" x14ac:dyDescent="0.25">
      <c r="A65">
        <v>11</v>
      </c>
      <c r="B65">
        <v>5</v>
      </c>
      <c r="C65">
        <v>60</v>
      </c>
      <c r="D65">
        <v>4</v>
      </c>
      <c r="E65">
        <v>5000</v>
      </c>
      <c r="F65">
        <v>12.5</v>
      </c>
      <c r="G65">
        <v>5</v>
      </c>
      <c r="H65">
        <v>78</v>
      </c>
      <c r="I65">
        <v>14.1025641025641</v>
      </c>
      <c r="J65">
        <v>13.301282051282</v>
      </c>
      <c r="K65">
        <v>4.5320512820512802</v>
      </c>
      <c r="L65">
        <v>0.42564102564102502</v>
      </c>
      <c r="M65">
        <v>3</v>
      </c>
    </row>
    <row r="66" spans="1:13" x14ac:dyDescent="0.25">
      <c r="A66">
        <v>11</v>
      </c>
      <c r="B66">
        <v>6</v>
      </c>
      <c r="C66">
        <v>61</v>
      </c>
      <c r="D66">
        <v>4</v>
      </c>
      <c r="E66">
        <v>5000</v>
      </c>
      <c r="F66">
        <v>12.5</v>
      </c>
      <c r="G66">
        <v>5</v>
      </c>
      <c r="H66">
        <v>78</v>
      </c>
      <c r="I66">
        <v>14.1025641025641</v>
      </c>
      <c r="J66">
        <v>13.301282051282</v>
      </c>
      <c r="K66">
        <v>4.5320512820512802</v>
      </c>
      <c r="L66">
        <v>0</v>
      </c>
      <c r="M66">
        <v>4</v>
      </c>
    </row>
    <row r="67" spans="1:13" x14ac:dyDescent="0.25">
      <c r="A67">
        <v>11</v>
      </c>
      <c r="B67">
        <v>7</v>
      </c>
      <c r="C67">
        <v>62</v>
      </c>
      <c r="D67">
        <v>4</v>
      </c>
      <c r="E67">
        <v>5000</v>
      </c>
      <c r="F67">
        <v>12.5</v>
      </c>
      <c r="G67">
        <v>5</v>
      </c>
      <c r="H67">
        <v>78</v>
      </c>
      <c r="I67">
        <v>14.1025641025641</v>
      </c>
      <c r="J67">
        <v>13.301282051282</v>
      </c>
      <c r="K67">
        <v>4.5320512820512802</v>
      </c>
      <c r="L67">
        <v>0</v>
      </c>
      <c r="M67">
        <v>4</v>
      </c>
    </row>
    <row r="68" spans="1:13" x14ac:dyDescent="0.25">
      <c r="A68">
        <v>11</v>
      </c>
      <c r="B68">
        <v>8</v>
      </c>
      <c r="C68">
        <v>63</v>
      </c>
      <c r="D68">
        <v>4</v>
      </c>
      <c r="E68">
        <v>5000</v>
      </c>
      <c r="F68">
        <v>12.5</v>
      </c>
      <c r="G68">
        <v>5</v>
      </c>
      <c r="H68">
        <v>78</v>
      </c>
      <c r="I68">
        <v>14.1025641025641</v>
      </c>
      <c r="J68">
        <v>13.301282051282</v>
      </c>
      <c r="K68">
        <v>4.5320512820512802</v>
      </c>
      <c r="L68">
        <v>0</v>
      </c>
      <c r="M68">
        <v>4</v>
      </c>
    </row>
    <row r="69" spans="1:13" x14ac:dyDescent="0.25">
      <c r="A69">
        <v>11</v>
      </c>
      <c r="B69">
        <v>9</v>
      </c>
      <c r="C69">
        <v>64</v>
      </c>
      <c r="D69">
        <v>4</v>
      </c>
      <c r="E69">
        <v>5000</v>
      </c>
      <c r="F69">
        <v>12.5</v>
      </c>
      <c r="G69">
        <v>5</v>
      </c>
      <c r="H69">
        <v>78</v>
      </c>
      <c r="I69">
        <v>14.1025641025641</v>
      </c>
      <c r="J69">
        <v>13.301282051282</v>
      </c>
      <c r="K69">
        <v>4.5320512820512802</v>
      </c>
      <c r="L69">
        <v>0</v>
      </c>
      <c r="M69">
        <v>4</v>
      </c>
    </row>
    <row r="70" spans="1:13" x14ac:dyDescent="0.25">
      <c r="A70">
        <v>11</v>
      </c>
      <c r="B70">
        <v>10</v>
      </c>
      <c r="C70">
        <v>65</v>
      </c>
      <c r="D70">
        <v>4</v>
      </c>
      <c r="E70">
        <v>5000</v>
      </c>
      <c r="F70">
        <v>12.5</v>
      </c>
      <c r="G70">
        <v>5</v>
      </c>
      <c r="H70">
        <v>78</v>
      </c>
      <c r="I70">
        <v>14.1025641025641</v>
      </c>
      <c r="J70">
        <v>13.301282051282</v>
      </c>
      <c r="K70">
        <v>4.5320512820512802</v>
      </c>
      <c r="L70" s="1">
        <v>1.7357001972386501E-5</v>
      </c>
      <c r="M70">
        <v>4</v>
      </c>
    </row>
    <row r="71" spans="1:13" x14ac:dyDescent="0.25">
      <c r="A71">
        <v>11</v>
      </c>
      <c r="B71">
        <v>11</v>
      </c>
      <c r="C71">
        <v>66</v>
      </c>
      <c r="D71">
        <v>4</v>
      </c>
      <c r="E71">
        <v>5000</v>
      </c>
      <c r="F71">
        <v>12.5</v>
      </c>
      <c r="G71">
        <v>5</v>
      </c>
      <c r="H71">
        <v>78</v>
      </c>
      <c r="I71">
        <v>14.1025641025641</v>
      </c>
      <c r="J71">
        <v>13.301282051282</v>
      </c>
      <c r="K71">
        <v>4.5320512820512802</v>
      </c>
      <c r="L71" s="1">
        <v>1.88034188034188E-5</v>
      </c>
      <c r="M71">
        <v>4</v>
      </c>
    </row>
    <row r="72" spans="1:13" x14ac:dyDescent="0.25">
      <c r="A72">
        <v>11</v>
      </c>
      <c r="B72">
        <v>12</v>
      </c>
      <c r="C72">
        <v>74</v>
      </c>
      <c r="D72">
        <v>4</v>
      </c>
      <c r="E72">
        <v>5000</v>
      </c>
      <c r="F72">
        <v>12.5</v>
      </c>
      <c r="G72">
        <v>5</v>
      </c>
      <c r="H72">
        <v>78</v>
      </c>
      <c r="I72">
        <v>14.1025641025641</v>
      </c>
      <c r="J72">
        <v>13.301282051282</v>
      </c>
      <c r="K72">
        <v>4.5320512820512802</v>
      </c>
      <c r="L72" s="1">
        <v>1.8295218295218199E-5</v>
      </c>
      <c r="M72">
        <v>4</v>
      </c>
    </row>
    <row r="73" spans="1:13" x14ac:dyDescent="0.25">
      <c r="A73">
        <v>11</v>
      </c>
      <c r="B73">
        <v>13</v>
      </c>
      <c r="C73">
        <v>75</v>
      </c>
      <c r="D73">
        <v>4</v>
      </c>
      <c r="E73">
        <v>5000</v>
      </c>
      <c r="F73">
        <v>12.5</v>
      </c>
      <c r="G73">
        <v>5</v>
      </c>
      <c r="H73">
        <v>78</v>
      </c>
      <c r="I73">
        <v>14.1025641025641</v>
      </c>
      <c r="J73">
        <v>13.301282051282</v>
      </c>
      <c r="K73">
        <v>4.5320512820512802</v>
      </c>
      <c r="L73" s="1">
        <v>1.95555555555555E-5</v>
      </c>
      <c r="M73">
        <v>4</v>
      </c>
    </row>
    <row r="74" spans="1:13" x14ac:dyDescent="0.25">
      <c r="A74">
        <v>11</v>
      </c>
      <c r="B74">
        <v>14</v>
      </c>
      <c r="C74">
        <v>76</v>
      </c>
      <c r="D74">
        <v>4</v>
      </c>
      <c r="E74">
        <v>5000</v>
      </c>
      <c r="F74">
        <v>12.5</v>
      </c>
      <c r="G74">
        <v>5</v>
      </c>
      <c r="H74">
        <v>78</v>
      </c>
      <c r="I74">
        <v>14.1025641025641</v>
      </c>
      <c r="J74">
        <v>13.301282051282</v>
      </c>
      <c r="K74">
        <v>4.5320512820512802</v>
      </c>
      <c r="L74" s="1">
        <v>2.0782726045883901E-5</v>
      </c>
      <c r="M74">
        <v>4</v>
      </c>
    </row>
    <row r="75" spans="1:13" x14ac:dyDescent="0.25">
      <c r="A75">
        <v>11</v>
      </c>
      <c r="B75">
        <v>15</v>
      </c>
      <c r="C75">
        <v>77</v>
      </c>
      <c r="D75">
        <v>4</v>
      </c>
      <c r="E75">
        <v>5000</v>
      </c>
      <c r="F75">
        <v>12.5</v>
      </c>
      <c r="G75">
        <v>5</v>
      </c>
      <c r="H75">
        <v>78</v>
      </c>
      <c r="I75">
        <v>14.1025641025641</v>
      </c>
      <c r="J75">
        <v>13.301282051282</v>
      </c>
      <c r="K75">
        <v>4.5320512820512802</v>
      </c>
      <c r="L75" s="1">
        <v>2.1978021978021899E-5</v>
      </c>
      <c r="M75">
        <v>4</v>
      </c>
    </row>
    <row r="76" spans="1:13" x14ac:dyDescent="0.25">
      <c r="A76">
        <v>11</v>
      </c>
      <c r="B76">
        <v>16</v>
      </c>
      <c r="C76">
        <v>81</v>
      </c>
      <c r="D76">
        <v>4</v>
      </c>
      <c r="E76">
        <v>5000</v>
      </c>
      <c r="F76">
        <v>12.5</v>
      </c>
      <c r="G76">
        <v>5</v>
      </c>
      <c r="H76">
        <v>78</v>
      </c>
      <c r="I76">
        <v>14.1025641025641</v>
      </c>
      <c r="J76">
        <v>13.301282051282</v>
      </c>
      <c r="K76">
        <v>4.5320512820512802</v>
      </c>
      <c r="L76" s="1">
        <v>2.2285533396644501E-5</v>
      </c>
      <c r="M76">
        <v>4</v>
      </c>
    </row>
    <row r="77" spans="1:13" x14ac:dyDescent="0.25">
      <c r="A77">
        <v>11</v>
      </c>
      <c r="B77">
        <v>17</v>
      </c>
      <c r="C77">
        <v>84</v>
      </c>
      <c r="D77">
        <v>4</v>
      </c>
      <c r="E77">
        <v>5000</v>
      </c>
      <c r="F77">
        <v>12.5</v>
      </c>
      <c r="G77">
        <v>5</v>
      </c>
      <c r="H77">
        <v>78</v>
      </c>
      <c r="I77">
        <v>14.1025641025641</v>
      </c>
      <c r="J77">
        <v>13.301282051282</v>
      </c>
      <c r="K77">
        <v>4.5320512820512802</v>
      </c>
      <c r="L77" s="1">
        <v>2.2832722832722799E-5</v>
      </c>
      <c r="M77">
        <v>4</v>
      </c>
    </row>
    <row r="78" spans="1:13" x14ac:dyDescent="0.25">
      <c r="A78">
        <v>11</v>
      </c>
      <c r="B78">
        <v>18</v>
      </c>
      <c r="C78">
        <v>89</v>
      </c>
      <c r="D78">
        <v>4</v>
      </c>
      <c r="E78">
        <v>5000</v>
      </c>
      <c r="F78">
        <v>12.5</v>
      </c>
      <c r="G78">
        <v>5</v>
      </c>
      <c r="H78">
        <v>78</v>
      </c>
      <c r="I78">
        <v>14.1025641025641</v>
      </c>
      <c r="J78">
        <v>13.301282051282</v>
      </c>
      <c r="K78">
        <v>4.5320512820512802</v>
      </c>
      <c r="L78" s="1">
        <v>2.2817631806395801E-5</v>
      </c>
      <c r="M78">
        <v>4</v>
      </c>
    </row>
    <row r="79" spans="1:13" x14ac:dyDescent="0.25">
      <c r="A79">
        <v>11</v>
      </c>
      <c r="B79">
        <v>19</v>
      </c>
      <c r="C79">
        <v>90</v>
      </c>
      <c r="D79">
        <v>4</v>
      </c>
      <c r="E79">
        <v>5000</v>
      </c>
      <c r="F79">
        <v>12.5</v>
      </c>
      <c r="G79">
        <v>5</v>
      </c>
      <c r="H79">
        <v>78</v>
      </c>
      <c r="I79">
        <v>14.1025641025641</v>
      </c>
      <c r="J79">
        <v>13.301282051282</v>
      </c>
      <c r="K79">
        <v>4.5320512820512802</v>
      </c>
      <c r="L79" s="1">
        <v>2.38176638176638E-5</v>
      </c>
      <c r="M79">
        <v>4</v>
      </c>
    </row>
    <row r="80" spans="1:13" x14ac:dyDescent="0.25">
      <c r="A80">
        <v>11</v>
      </c>
      <c r="B80">
        <v>20</v>
      </c>
      <c r="C80">
        <v>91</v>
      </c>
      <c r="D80">
        <v>4</v>
      </c>
      <c r="E80">
        <v>5000</v>
      </c>
      <c r="F80">
        <v>12.5</v>
      </c>
      <c r="G80">
        <v>5</v>
      </c>
      <c r="H80">
        <v>78</v>
      </c>
      <c r="I80">
        <v>14.1025641025641</v>
      </c>
      <c r="J80">
        <v>13.301282051282</v>
      </c>
      <c r="K80">
        <v>4.5320512820512802</v>
      </c>
      <c r="L80" s="1">
        <v>2.4795717103409401E-5</v>
      </c>
      <c r="M80">
        <v>4</v>
      </c>
    </row>
    <row r="81" spans="1:13" x14ac:dyDescent="0.25">
      <c r="A81">
        <v>11</v>
      </c>
      <c r="B81">
        <v>21</v>
      </c>
      <c r="C81">
        <v>96</v>
      </c>
      <c r="D81">
        <v>4</v>
      </c>
      <c r="E81">
        <v>5000</v>
      </c>
      <c r="F81">
        <v>12.5</v>
      </c>
      <c r="G81">
        <v>5</v>
      </c>
      <c r="H81">
        <v>78</v>
      </c>
      <c r="I81">
        <v>14.1025641025641</v>
      </c>
      <c r="J81">
        <v>13.301282051282</v>
      </c>
      <c r="K81">
        <v>4.5320512820512802</v>
      </c>
      <c r="L81" s="1">
        <v>2.4679487179487099E-5</v>
      </c>
      <c r="M81">
        <v>4</v>
      </c>
    </row>
    <row r="82" spans="1:13" x14ac:dyDescent="0.25">
      <c r="A82">
        <v>11</v>
      </c>
      <c r="B82">
        <v>22</v>
      </c>
      <c r="C82">
        <v>97</v>
      </c>
      <c r="D82">
        <v>4</v>
      </c>
      <c r="E82">
        <v>5000</v>
      </c>
      <c r="F82">
        <v>12.5</v>
      </c>
      <c r="G82">
        <v>5</v>
      </c>
      <c r="H82">
        <v>78</v>
      </c>
      <c r="I82">
        <v>14.1025641025641</v>
      </c>
      <c r="J82">
        <v>13.301282051282</v>
      </c>
      <c r="K82">
        <v>4.5320512820512802</v>
      </c>
      <c r="L82" s="1">
        <v>2.5588157546920401E-5</v>
      </c>
      <c r="M82">
        <v>4</v>
      </c>
    </row>
    <row r="83" spans="1:13" x14ac:dyDescent="0.25">
      <c r="A83">
        <v>12</v>
      </c>
      <c r="B83">
        <v>1</v>
      </c>
      <c r="C83">
        <v>52</v>
      </c>
      <c r="D83">
        <v>30</v>
      </c>
      <c r="E83">
        <v>5000</v>
      </c>
      <c r="F83">
        <v>12.5</v>
      </c>
      <c r="G83">
        <v>5</v>
      </c>
      <c r="H83">
        <v>78</v>
      </c>
      <c r="I83">
        <v>15.3846153846153</v>
      </c>
      <c r="J83">
        <v>13.942307692307599</v>
      </c>
      <c r="K83">
        <v>34.182692307692299</v>
      </c>
      <c r="L83">
        <v>0</v>
      </c>
      <c r="M83">
        <v>34</v>
      </c>
    </row>
    <row r="84" spans="1:13" x14ac:dyDescent="0.25">
      <c r="A84">
        <v>12</v>
      </c>
      <c r="B84">
        <v>2</v>
      </c>
      <c r="C84">
        <v>53</v>
      </c>
      <c r="D84">
        <v>30</v>
      </c>
      <c r="E84">
        <v>5000</v>
      </c>
      <c r="F84">
        <v>12.5</v>
      </c>
      <c r="G84">
        <v>5</v>
      </c>
      <c r="H84">
        <v>78</v>
      </c>
      <c r="I84">
        <v>15.3846153846153</v>
      </c>
      <c r="J84">
        <v>13.942307692307599</v>
      </c>
      <c r="K84">
        <v>34.182692307692299</v>
      </c>
      <c r="L84">
        <v>0.83653846153846101</v>
      </c>
      <c r="M84">
        <v>33</v>
      </c>
    </row>
    <row r="85" spans="1:13" x14ac:dyDescent="0.25">
      <c r="A85">
        <v>12</v>
      </c>
      <c r="B85">
        <v>3</v>
      </c>
      <c r="C85">
        <v>54</v>
      </c>
      <c r="D85">
        <v>30</v>
      </c>
      <c r="E85">
        <v>5000</v>
      </c>
      <c r="F85">
        <v>12.5</v>
      </c>
      <c r="G85">
        <v>5</v>
      </c>
      <c r="H85">
        <v>78</v>
      </c>
      <c r="I85">
        <v>15.3846153846153</v>
      </c>
      <c r="J85">
        <v>13.942307692307599</v>
      </c>
      <c r="K85">
        <v>34.182692307692299</v>
      </c>
      <c r="L85">
        <v>1.67307692307692</v>
      </c>
      <c r="M85">
        <v>32</v>
      </c>
    </row>
    <row r="86" spans="1:13" x14ac:dyDescent="0.25">
      <c r="A86">
        <v>12</v>
      </c>
      <c r="B86">
        <v>4</v>
      </c>
      <c r="C86">
        <v>55</v>
      </c>
      <c r="D86">
        <v>30</v>
      </c>
      <c r="E86">
        <v>5000</v>
      </c>
      <c r="F86">
        <v>12.5</v>
      </c>
      <c r="G86">
        <v>5</v>
      </c>
      <c r="H86">
        <v>78</v>
      </c>
      <c r="I86">
        <v>15.3846153846153</v>
      </c>
      <c r="J86">
        <v>13.942307692307599</v>
      </c>
      <c r="K86">
        <v>34.182692307692299</v>
      </c>
      <c r="L86">
        <v>2.5096153846153801</v>
      </c>
      <c r="M86">
        <v>31</v>
      </c>
    </row>
    <row r="87" spans="1:13" x14ac:dyDescent="0.25">
      <c r="A87">
        <v>12</v>
      </c>
      <c r="B87">
        <v>5</v>
      </c>
      <c r="C87">
        <v>56</v>
      </c>
      <c r="D87">
        <v>30</v>
      </c>
      <c r="E87">
        <v>5000</v>
      </c>
      <c r="F87">
        <v>12.5</v>
      </c>
      <c r="G87">
        <v>5</v>
      </c>
      <c r="H87">
        <v>78</v>
      </c>
      <c r="I87">
        <v>15.3846153846153</v>
      </c>
      <c r="J87">
        <v>13.942307692307599</v>
      </c>
      <c r="K87">
        <v>34.182692307692299</v>
      </c>
      <c r="L87">
        <v>3.34615384615384</v>
      </c>
      <c r="M87">
        <v>30</v>
      </c>
    </row>
    <row r="88" spans="1:13" x14ac:dyDescent="0.25">
      <c r="A88">
        <v>12</v>
      </c>
      <c r="B88">
        <v>6</v>
      </c>
      <c r="C88">
        <v>57</v>
      </c>
      <c r="D88">
        <v>30</v>
      </c>
      <c r="E88">
        <v>5000</v>
      </c>
      <c r="F88">
        <v>12.5</v>
      </c>
      <c r="G88">
        <v>5</v>
      </c>
      <c r="H88">
        <v>78</v>
      </c>
      <c r="I88">
        <v>15.3846153846153</v>
      </c>
      <c r="J88">
        <v>13.942307692307599</v>
      </c>
      <c r="K88">
        <v>34.182692307692299</v>
      </c>
      <c r="L88">
        <v>0</v>
      </c>
      <c r="M88">
        <v>30</v>
      </c>
    </row>
    <row r="89" spans="1:13" x14ac:dyDescent="0.25">
      <c r="A89">
        <v>12</v>
      </c>
      <c r="B89">
        <v>7</v>
      </c>
      <c r="C89">
        <v>58</v>
      </c>
      <c r="D89">
        <v>30</v>
      </c>
      <c r="E89">
        <v>5000</v>
      </c>
      <c r="F89">
        <v>12.5</v>
      </c>
      <c r="G89">
        <v>5</v>
      </c>
      <c r="H89">
        <v>78</v>
      </c>
      <c r="I89">
        <v>15.3846153846153</v>
      </c>
      <c r="J89">
        <v>13.942307692307599</v>
      </c>
      <c r="K89">
        <v>34.182692307692299</v>
      </c>
      <c r="L89">
        <v>0</v>
      </c>
      <c r="M89">
        <v>30</v>
      </c>
    </row>
    <row r="90" spans="1:13" x14ac:dyDescent="0.25">
      <c r="A90">
        <v>12</v>
      </c>
      <c r="B90">
        <v>8</v>
      </c>
      <c r="C90">
        <v>82</v>
      </c>
      <c r="D90">
        <v>30</v>
      </c>
      <c r="E90">
        <v>5000</v>
      </c>
      <c r="F90">
        <v>12.5</v>
      </c>
      <c r="G90">
        <v>5</v>
      </c>
      <c r="H90">
        <v>78</v>
      </c>
      <c r="I90">
        <v>15.3846153846153</v>
      </c>
      <c r="J90">
        <v>13.942307692307599</v>
      </c>
      <c r="K90">
        <v>34.182692307692299</v>
      </c>
      <c r="L90">
        <v>0</v>
      </c>
      <c r="M90">
        <v>30</v>
      </c>
    </row>
    <row r="91" spans="1:13" x14ac:dyDescent="0.25">
      <c r="A91">
        <v>12</v>
      </c>
      <c r="B91">
        <v>9</v>
      </c>
      <c r="C91">
        <v>83</v>
      </c>
      <c r="D91">
        <v>30</v>
      </c>
      <c r="E91">
        <v>5000</v>
      </c>
      <c r="F91">
        <v>12.5</v>
      </c>
      <c r="G91">
        <v>5</v>
      </c>
      <c r="H91">
        <v>78</v>
      </c>
      <c r="I91">
        <v>15.3846153846153</v>
      </c>
      <c r="J91">
        <v>13.942307692307599</v>
      </c>
      <c r="K91">
        <v>34.182692307692299</v>
      </c>
      <c r="L91">
        <v>0</v>
      </c>
      <c r="M91">
        <v>30</v>
      </c>
    </row>
    <row r="92" spans="1:13" x14ac:dyDescent="0.25">
      <c r="A92">
        <v>12</v>
      </c>
      <c r="B92">
        <v>10</v>
      </c>
      <c r="C92">
        <v>109</v>
      </c>
      <c r="D92">
        <v>30</v>
      </c>
      <c r="E92">
        <v>5000</v>
      </c>
      <c r="F92">
        <v>12.5</v>
      </c>
      <c r="G92">
        <v>5</v>
      </c>
      <c r="H92">
        <v>78</v>
      </c>
      <c r="I92">
        <v>15.3846153846153</v>
      </c>
      <c r="J92">
        <v>13.942307692307599</v>
      </c>
      <c r="K92">
        <v>34.182692307692299</v>
      </c>
      <c r="L92" s="1">
        <v>8.4685956245589202E-5</v>
      </c>
      <c r="M92">
        <v>30</v>
      </c>
    </row>
    <row r="93" spans="1:13" x14ac:dyDescent="0.25">
      <c r="A93">
        <v>13</v>
      </c>
      <c r="B93">
        <v>1</v>
      </c>
      <c r="C93">
        <v>67</v>
      </c>
      <c r="D93">
        <v>10</v>
      </c>
      <c r="E93">
        <v>5000</v>
      </c>
      <c r="F93">
        <v>12.5</v>
      </c>
      <c r="G93">
        <v>5</v>
      </c>
      <c r="H93">
        <v>78</v>
      </c>
      <c r="I93">
        <v>16.6666666666666</v>
      </c>
      <c r="J93">
        <v>14.5833333333333</v>
      </c>
      <c r="K93">
        <v>11.4583333333333</v>
      </c>
      <c r="L93">
        <v>0</v>
      </c>
      <c r="M93">
        <v>11</v>
      </c>
    </row>
    <row r="94" spans="1:13" x14ac:dyDescent="0.25">
      <c r="A94">
        <v>13</v>
      </c>
      <c r="B94">
        <v>2</v>
      </c>
      <c r="C94">
        <v>68</v>
      </c>
      <c r="D94">
        <v>10</v>
      </c>
      <c r="E94">
        <v>5000</v>
      </c>
      <c r="F94">
        <v>12.5</v>
      </c>
      <c r="G94">
        <v>5</v>
      </c>
      <c r="H94">
        <v>78</v>
      </c>
      <c r="I94">
        <v>16.6666666666666</v>
      </c>
      <c r="J94">
        <v>14.5833333333333</v>
      </c>
      <c r="K94">
        <v>11.4583333333333</v>
      </c>
      <c r="L94">
        <v>0.29166666666666602</v>
      </c>
      <c r="M94">
        <v>10</v>
      </c>
    </row>
    <row r="95" spans="1:13" x14ac:dyDescent="0.25">
      <c r="A95">
        <v>14</v>
      </c>
      <c r="B95">
        <v>1</v>
      </c>
      <c r="C95">
        <v>69</v>
      </c>
      <c r="D95">
        <v>35</v>
      </c>
      <c r="E95">
        <v>5000</v>
      </c>
      <c r="F95">
        <v>12.5</v>
      </c>
      <c r="G95">
        <v>5</v>
      </c>
      <c r="H95">
        <v>78</v>
      </c>
      <c r="I95">
        <v>17.948717948717899</v>
      </c>
      <c r="J95">
        <v>15.2243589743589</v>
      </c>
      <c r="K95">
        <v>40.3285256410256</v>
      </c>
      <c r="L95">
        <v>0</v>
      </c>
      <c r="M95">
        <v>40</v>
      </c>
    </row>
    <row r="96" spans="1:13" x14ac:dyDescent="0.25">
      <c r="A96">
        <v>14</v>
      </c>
      <c r="B96">
        <v>2</v>
      </c>
      <c r="C96">
        <v>73</v>
      </c>
      <c r="D96">
        <v>35</v>
      </c>
      <c r="E96">
        <v>5000</v>
      </c>
      <c r="F96">
        <v>12.5</v>
      </c>
      <c r="G96">
        <v>5</v>
      </c>
      <c r="H96">
        <v>78</v>
      </c>
      <c r="I96">
        <v>17.948717948717899</v>
      </c>
      <c r="J96">
        <v>15.2243589743589</v>
      </c>
      <c r="K96">
        <v>40.3285256410256</v>
      </c>
      <c r="L96">
        <v>1.06570512820512</v>
      </c>
      <c r="M96">
        <v>38</v>
      </c>
    </row>
    <row r="97" spans="1:13" x14ac:dyDescent="0.25">
      <c r="A97">
        <v>15</v>
      </c>
      <c r="B97">
        <v>1</v>
      </c>
      <c r="C97">
        <v>70</v>
      </c>
      <c r="D97">
        <v>4</v>
      </c>
      <c r="E97">
        <v>5000</v>
      </c>
      <c r="F97">
        <v>12.5</v>
      </c>
      <c r="G97">
        <v>5</v>
      </c>
      <c r="H97">
        <v>78</v>
      </c>
      <c r="I97">
        <v>19.230769230769202</v>
      </c>
      <c r="J97">
        <v>15.865384615384601</v>
      </c>
      <c r="K97">
        <v>4.6346153846153797</v>
      </c>
      <c r="L97">
        <v>0</v>
      </c>
      <c r="M97">
        <v>4</v>
      </c>
    </row>
    <row r="98" spans="1:13" x14ac:dyDescent="0.25">
      <c r="A98">
        <v>15</v>
      </c>
      <c r="B98">
        <v>2</v>
      </c>
      <c r="C98">
        <v>71</v>
      </c>
      <c r="D98">
        <v>4</v>
      </c>
      <c r="E98">
        <v>5000</v>
      </c>
      <c r="F98">
        <v>12.5</v>
      </c>
      <c r="G98">
        <v>5</v>
      </c>
      <c r="H98">
        <v>78</v>
      </c>
      <c r="I98">
        <v>19.230769230769202</v>
      </c>
      <c r="J98">
        <v>15.865384615384601</v>
      </c>
      <c r="K98">
        <v>4.6346153846153797</v>
      </c>
      <c r="L98">
        <v>0.126923076923077</v>
      </c>
      <c r="M98">
        <v>3</v>
      </c>
    </row>
    <row r="99" spans="1:13" x14ac:dyDescent="0.25">
      <c r="A99">
        <v>15</v>
      </c>
      <c r="B99">
        <v>3</v>
      </c>
      <c r="C99">
        <v>72</v>
      </c>
      <c r="D99">
        <v>4</v>
      </c>
      <c r="E99">
        <v>5000</v>
      </c>
      <c r="F99">
        <v>12.5</v>
      </c>
      <c r="G99">
        <v>5</v>
      </c>
      <c r="H99">
        <v>78</v>
      </c>
      <c r="I99">
        <v>19.230769230769202</v>
      </c>
      <c r="J99">
        <v>15.865384615384601</v>
      </c>
      <c r="K99">
        <v>4.6346153846153797</v>
      </c>
      <c r="L99">
        <v>0.253846153846154</v>
      </c>
      <c r="M99">
        <v>3</v>
      </c>
    </row>
    <row r="100" spans="1:13" x14ac:dyDescent="0.25">
      <c r="A100">
        <v>16</v>
      </c>
      <c r="B100">
        <v>1</v>
      </c>
      <c r="C100">
        <v>78</v>
      </c>
      <c r="D100">
        <v>2</v>
      </c>
      <c r="E100">
        <v>5000</v>
      </c>
      <c r="F100">
        <v>12.5</v>
      </c>
      <c r="G100">
        <v>5</v>
      </c>
      <c r="H100">
        <v>78</v>
      </c>
      <c r="I100">
        <v>20.5128205128205</v>
      </c>
      <c r="J100">
        <v>16.506410256410199</v>
      </c>
      <c r="K100">
        <v>2.3301282051282</v>
      </c>
      <c r="L100">
        <v>0</v>
      </c>
      <c r="M100">
        <v>2</v>
      </c>
    </row>
    <row r="101" spans="1:13" x14ac:dyDescent="0.25">
      <c r="A101">
        <v>16</v>
      </c>
      <c r="B101">
        <v>2</v>
      </c>
      <c r="C101">
        <v>92</v>
      </c>
      <c r="D101">
        <v>2</v>
      </c>
      <c r="E101">
        <v>5000</v>
      </c>
      <c r="F101">
        <v>12.5</v>
      </c>
      <c r="G101">
        <v>5</v>
      </c>
      <c r="H101">
        <v>78</v>
      </c>
      <c r="I101">
        <v>20.5128205128205</v>
      </c>
      <c r="J101">
        <v>16.506410256410199</v>
      </c>
      <c r="K101">
        <v>2.3301282051282</v>
      </c>
      <c r="L101">
        <v>6.6025641025640999E-2</v>
      </c>
      <c r="M101">
        <v>1</v>
      </c>
    </row>
    <row r="102" spans="1:13" x14ac:dyDescent="0.25">
      <c r="A102">
        <v>16</v>
      </c>
      <c r="B102">
        <v>3</v>
      </c>
      <c r="C102">
        <v>93</v>
      </c>
      <c r="D102">
        <v>2</v>
      </c>
      <c r="E102">
        <v>5000</v>
      </c>
      <c r="F102">
        <v>12.5</v>
      </c>
      <c r="G102">
        <v>5</v>
      </c>
      <c r="H102">
        <v>78</v>
      </c>
      <c r="I102">
        <v>20.5128205128205</v>
      </c>
      <c r="J102">
        <v>16.506410256410199</v>
      </c>
      <c r="K102">
        <v>2.3301282051282</v>
      </c>
      <c r="L102">
        <v>0.132051282051282</v>
      </c>
      <c r="M102">
        <v>1</v>
      </c>
    </row>
    <row r="103" spans="1:13" x14ac:dyDescent="0.25">
      <c r="A103">
        <v>16</v>
      </c>
      <c r="B103">
        <v>4</v>
      </c>
      <c r="C103">
        <v>94</v>
      </c>
      <c r="D103">
        <v>2</v>
      </c>
      <c r="E103">
        <v>5000</v>
      </c>
      <c r="F103">
        <v>12.5</v>
      </c>
      <c r="G103">
        <v>5</v>
      </c>
      <c r="H103">
        <v>78</v>
      </c>
      <c r="I103">
        <v>20.5128205128205</v>
      </c>
      <c r="J103">
        <v>16.506410256410199</v>
      </c>
      <c r="K103">
        <v>2.3301282051282</v>
      </c>
      <c r="L103">
        <v>0.19807692307692301</v>
      </c>
      <c r="M103">
        <v>1</v>
      </c>
    </row>
    <row r="104" spans="1:13" x14ac:dyDescent="0.25">
      <c r="A104">
        <v>16</v>
      </c>
      <c r="B104">
        <v>5</v>
      </c>
      <c r="C104">
        <v>95</v>
      </c>
      <c r="D104">
        <v>2</v>
      </c>
      <c r="E104">
        <v>5000</v>
      </c>
      <c r="F104">
        <v>12.5</v>
      </c>
      <c r="G104">
        <v>5</v>
      </c>
      <c r="H104">
        <v>78</v>
      </c>
      <c r="I104">
        <v>20.5128205128205</v>
      </c>
      <c r="J104">
        <v>16.506410256410199</v>
      </c>
      <c r="K104">
        <v>2.3301282051282</v>
      </c>
      <c r="L104">
        <v>0.264102564102564</v>
      </c>
      <c r="M104">
        <v>1</v>
      </c>
    </row>
    <row r="105" spans="1:13" x14ac:dyDescent="0.25">
      <c r="A105">
        <v>17</v>
      </c>
      <c r="B105">
        <v>1</v>
      </c>
      <c r="C105">
        <v>79</v>
      </c>
      <c r="D105">
        <v>5</v>
      </c>
      <c r="E105">
        <v>5000</v>
      </c>
      <c r="F105">
        <v>12.5</v>
      </c>
      <c r="G105">
        <v>5</v>
      </c>
      <c r="H105">
        <v>78</v>
      </c>
      <c r="I105">
        <v>21.7948717948717</v>
      </c>
      <c r="J105">
        <v>17.147435897435798</v>
      </c>
      <c r="K105">
        <v>5.8573717948717903</v>
      </c>
      <c r="L105">
        <v>0</v>
      </c>
      <c r="M105">
        <v>5</v>
      </c>
    </row>
    <row r="106" spans="1:13" x14ac:dyDescent="0.25">
      <c r="A106">
        <v>17</v>
      </c>
      <c r="B106">
        <v>2</v>
      </c>
      <c r="C106">
        <v>80</v>
      </c>
      <c r="D106">
        <v>5</v>
      </c>
      <c r="E106">
        <v>5000</v>
      </c>
      <c r="F106">
        <v>12.5</v>
      </c>
      <c r="G106">
        <v>5</v>
      </c>
      <c r="H106">
        <v>78</v>
      </c>
      <c r="I106">
        <v>21.7948717948717</v>
      </c>
      <c r="J106">
        <v>17.147435897435798</v>
      </c>
      <c r="K106">
        <v>5.8573717948717903</v>
      </c>
      <c r="L106">
        <v>0.171474358974358</v>
      </c>
      <c r="M106">
        <v>4</v>
      </c>
    </row>
    <row r="107" spans="1:13" x14ac:dyDescent="0.25">
      <c r="A107">
        <v>17</v>
      </c>
      <c r="B107">
        <v>3</v>
      </c>
      <c r="C107">
        <v>85</v>
      </c>
      <c r="D107">
        <v>5</v>
      </c>
      <c r="E107">
        <v>5000</v>
      </c>
      <c r="F107">
        <v>12.5</v>
      </c>
      <c r="G107">
        <v>5</v>
      </c>
      <c r="H107">
        <v>78</v>
      </c>
      <c r="I107">
        <v>21.7948717948717</v>
      </c>
      <c r="J107">
        <v>17.147435897435798</v>
      </c>
      <c r="K107">
        <v>5.8573717948717903</v>
      </c>
      <c r="L107">
        <v>0.34294871794871701</v>
      </c>
      <c r="M107">
        <v>4</v>
      </c>
    </row>
    <row r="108" spans="1:13" x14ac:dyDescent="0.25">
      <c r="A108">
        <v>17</v>
      </c>
      <c r="B108">
        <v>4</v>
      </c>
      <c r="C108">
        <v>98</v>
      </c>
      <c r="D108">
        <v>5</v>
      </c>
      <c r="E108">
        <v>5000</v>
      </c>
      <c r="F108">
        <v>12.5</v>
      </c>
      <c r="G108">
        <v>5</v>
      </c>
      <c r="H108">
        <v>78</v>
      </c>
      <c r="I108">
        <v>21.7948717948717</v>
      </c>
      <c r="J108">
        <v>17.147435897435798</v>
      </c>
      <c r="K108">
        <v>5.8573717948717903</v>
      </c>
      <c r="L108">
        <v>0.51442307692307598</v>
      </c>
      <c r="M108">
        <v>4</v>
      </c>
    </row>
    <row r="109" spans="1:13" x14ac:dyDescent="0.25">
      <c r="A109">
        <v>17</v>
      </c>
      <c r="B109">
        <v>5</v>
      </c>
      <c r="C109">
        <v>99</v>
      </c>
      <c r="D109">
        <v>5</v>
      </c>
      <c r="E109">
        <v>5000</v>
      </c>
      <c r="F109">
        <v>12.5</v>
      </c>
      <c r="G109">
        <v>5</v>
      </c>
      <c r="H109">
        <v>78</v>
      </c>
      <c r="I109">
        <v>21.7948717948717</v>
      </c>
      <c r="J109">
        <v>17.147435897435798</v>
      </c>
      <c r="K109">
        <v>5.8573717948717903</v>
      </c>
      <c r="L109">
        <v>0.68589743589743501</v>
      </c>
      <c r="M109">
        <v>4</v>
      </c>
    </row>
    <row r="110" spans="1:13" x14ac:dyDescent="0.25">
      <c r="A110">
        <v>17</v>
      </c>
      <c r="B110">
        <v>6</v>
      </c>
      <c r="C110">
        <v>106</v>
      </c>
      <c r="D110">
        <v>5</v>
      </c>
      <c r="E110">
        <v>5000</v>
      </c>
      <c r="F110">
        <v>12.5</v>
      </c>
      <c r="G110">
        <v>5</v>
      </c>
      <c r="H110">
        <v>78</v>
      </c>
      <c r="I110">
        <v>21.7948717948717</v>
      </c>
      <c r="J110">
        <v>17.147435897435798</v>
      </c>
      <c r="K110">
        <v>5.8573717948717903</v>
      </c>
      <c r="L110">
        <v>0</v>
      </c>
      <c r="M110">
        <v>5</v>
      </c>
    </row>
    <row r="111" spans="1:13" x14ac:dyDescent="0.25">
      <c r="A111">
        <v>17</v>
      </c>
      <c r="B111">
        <v>7</v>
      </c>
      <c r="C111">
        <v>108</v>
      </c>
      <c r="D111">
        <v>5</v>
      </c>
      <c r="E111">
        <v>5000</v>
      </c>
      <c r="F111">
        <v>12.5</v>
      </c>
      <c r="G111">
        <v>5</v>
      </c>
      <c r="H111">
        <v>78</v>
      </c>
      <c r="I111">
        <v>21.7948717948717</v>
      </c>
      <c r="J111">
        <v>17.147435897435798</v>
      </c>
      <c r="K111">
        <v>5.8573717948717903</v>
      </c>
      <c r="L111">
        <v>0</v>
      </c>
      <c r="M111">
        <v>5</v>
      </c>
    </row>
    <row r="112" spans="1:13" x14ac:dyDescent="0.25">
      <c r="A112">
        <v>17</v>
      </c>
      <c r="B112">
        <v>8</v>
      </c>
      <c r="C112">
        <v>111</v>
      </c>
      <c r="D112">
        <v>5</v>
      </c>
      <c r="E112">
        <v>5000</v>
      </c>
      <c r="F112">
        <v>12.5</v>
      </c>
      <c r="G112">
        <v>5</v>
      </c>
      <c r="H112">
        <v>78</v>
      </c>
      <c r="I112">
        <v>21.7948717948717</v>
      </c>
      <c r="J112">
        <v>17.147435897435798</v>
      </c>
      <c r="K112">
        <v>5.8573717948717903</v>
      </c>
      <c r="L112">
        <v>0</v>
      </c>
      <c r="M112">
        <v>5</v>
      </c>
    </row>
    <row r="113" spans="1:13" x14ac:dyDescent="0.25">
      <c r="A113">
        <v>17</v>
      </c>
      <c r="B113">
        <v>9</v>
      </c>
      <c r="C113">
        <v>112</v>
      </c>
      <c r="D113">
        <v>5</v>
      </c>
      <c r="E113">
        <v>5000</v>
      </c>
      <c r="F113">
        <v>12.5</v>
      </c>
      <c r="G113">
        <v>5</v>
      </c>
      <c r="H113">
        <v>78</v>
      </c>
      <c r="I113">
        <v>21.7948717948717</v>
      </c>
      <c r="J113">
        <v>17.147435897435798</v>
      </c>
      <c r="K113">
        <v>5.8573717948717903</v>
      </c>
      <c r="L113">
        <v>0</v>
      </c>
      <c r="M113">
        <v>5</v>
      </c>
    </row>
    <row r="114" spans="1:13" x14ac:dyDescent="0.25">
      <c r="A114">
        <v>18</v>
      </c>
      <c r="B114">
        <v>1</v>
      </c>
      <c r="C114">
        <v>113</v>
      </c>
      <c r="D114">
        <v>30</v>
      </c>
      <c r="E114">
        <v>5000</v>
      </c>
      <c r="F114">
        <v>12.5</v>
      </c>
      <c r="G114">
        <v>5</v>
      </c>
      <c r="H114">
        <v>78</v>
      </c>
      <c r="I114">
        <v>23.076923076922998</v>
      </c>
      <c r="J114">
        <v>17.788461538461501</v>
      </c>
      <c r="K114">
        <v>35.336538461538403</v>
      </c>
      <c r="L114">
        <v>0</v>
      </c>
      <c r="M114">
        <v>35</v>
      </c>
    </row>
    <row r="115" spans="1:13" x14ac:dyDescent="0.25">
      <c r="A115">
        <v>18</v>
      </c>
      <c r="B115">
        <v>2</v>
      </c>
      <c r="C115">
        <v>114</v>
      </c>
      <c r="D115">
        <v>30</v>
      </c>
      <c r="E115">
        <v>5000</v>
      </c>
      <c r="F115">
        <v>12.5</v>
      </c>
      <c r="G115">
        <v>5</v>
      </c>
      <c r="H115">
        <v>78</v>
      </c>
      <c r="I115">
        <v>23.076923076922998</v>
      </c>
      <c r="J115">
        <v>17.788461538461501</v>
      </c>
      <c r="K115">
        <v>35.336538461538403</v>
      </c>
      <c r="L115">
        <v>1.0673076923076901</v>
      </c>
      <c r="M115">
        <v>33</v>
      </c>
    </row>
    <row r="116" spans="1:13" x14ac:dyDescent="0.25">
      <c r="A116">
        <v>18</v>
      </c>
      <c r="B116">
        <v>3</v>
      </c>
      <c r="C116">
        <v>115</v>
      </c>
      <c r="D116">
        <v>30</v>
      </c>
      <c r="E116">
        <v>5000</v>
      </c>
      <c r="F116">
        <v>12.5</v>
      </c>
      <c r="G116">
        <v>5</v>
      </c>
      <c r="H116">
        <v>78</v>
      </c>
      <c r="I116">
        <v>23.076923076922998</v>
      </c>
      <c r="J116">
        <v>17.788461538461501</v>
      </c>
      <c r="K116">
        <v>35.336538461538403</v>
      </c>
      <c r="L116">
        <v>2.1346153846153801</v>
      </c>
      <c r="M116">
        <v>32</v>
      </c>
    </row>
    <row r="117" spans="1:13" x14ac:dyDescent="0.25">
      <c r="A117">
        <v>18</v>
      </c>
      <c r="B117">
        <v>4</v>
      </c>
      <c r="C117">
        <v>116</v>
      </c>
      <c r="D117">
        <v>30</v>
      </c>
      <c r="E117">
        <v>5000</v>
      </c>
      <c r="F117">
        <v>12.5</v>
      </c>
      <c r="G117">
        <v>5</v>
      </c>
      <c r="H117">
        <v>78</v>
      </c>
      <c r="I117">
        <v>23.076923076922998</v>
      </c>
      <c r="J117">
        <v>17.788461538461501</v>
      </c>
      <c r="K117">
        <v>35.336538461538403</v>
      </c>
      <c r="L117">
        <v>3.20192307692307</v>
      </c>
      <c r="M117">
        <v>31</v>
      </c>
    </row>
    <row r="118" spans="1:13" x14ac:dyDescent="0.25">
      <c r="A118">
        <v>18</v>
      </c>
      <c r="B118">
        <v>5</v>
      </c>
      <c r="C118">
        <v>117</v>
      </c>
      <c r="D118">
        <v>30</v>
      </c>
      <c r="E118">
        <v>5000</v>
      </c>
      <c r="F118">
        <v>12.5</v>
      </c>
      <c r="G118">
        <v>5</v>
      </c>
      <c r="H118">
        <v>78</v>
      </c>
      <c r="I118">
        <v>23.076923076922998</v>
      </c>
      <c r="J118">
        <v>17.788461538461501</v>
      </c>
      <c r="K118">
        <v>35.336538461538403</v>
      </c>
      <c r="L118">
        <v>4.2692307692307603</v>
      </c>
      <c r="M118">
        <v>30</v>
      </c>
    </row>
    <row r="119" spans="1:13" x14ac:dyDescent="0.25">
      <c r="A119">
        <v>18</v>
      </c>
      <c r="B119">
        <v>6</v>
      </c>
      <c r="C119">
        <v>118</v>
      </c>
      <c r="D119">
        <v>30</v>
      </c>
      <c r="E119">
        <v>5000</v>
      </c>
      <c r="F119">
        <v>12.5</v>
      </c>
      <c r="G119">
        <v>5</v>
      </c>
      <c r="H119">
        <v>78</v>
      </c>
      <c r="I119">
        <v>23.076923076922998</v>
      </c>
      <c r="J119">
        <v>17.788461538461501</v>
      </c>
      <c r="K119">
        <v>35.336538461538403</v>
      </c>
      <c r="L119">
        <v>0</v>
      </c>
      <c r="M119">
        <v>30</v>
      </c>
    </row>
    <row r="120" spans="1:13" x14ac:dyDescent="0.25">
      <c r="A120">
        <v>18</v>
      </c>
      <c r="B120">
        <v>7</v>
      </c>
      <c r="C120">
        <v>119</v>
      </c>
      <c r="D120">
        <v>30</v>
      </c>
      <c r="E120">
        <v>5000</v>
      </c>
      <c r="F120">
        <v>12.5</v>
      </c>
      <c r="G120">
        <v>5</v>
      </c>
      <c r="H120">
        <v>78</v>
      </c>
      <c r="I120">
        <v>23.076923076922998</v>
      </c>
      <c r="J120">
        <v>17.788461538461501</v>
      </c>
      <c r="K120">
        <v>35.336538461538403</v>
      </c>
      <c r="L120">
        <v>0</v>
      </c>
      <c r="M120">
        <v>30</v>
      </c>
    </row>
    <row r="121" spans="1:13" x14ac:dyDescent="0.25">
      <c r="A121">
        <v>18</v>
      </c>
      <c r="B121">
        <v>8</v>
      </c>
      <c r="C121">
        <v>120</v>
      </c>
      <c r="D121">
        <v>30</v>
      </c>
      <c r="E121">
        <v>5000</v>
      </c>
      <c r="F121">
        <v>12.5</v>
      </c>
      <c r="G121">
        <v>5</v>
      </c>
      <c r="H121">
        <v>78</v>
      </c>
      <c r="I121">
        <v>23.076923076922998</v>
      </c>
      <c r="J121">
        <v>17.788461538461501</v>
      </c>
      <c r="K121">
        <v>35.336538461538403</v>
      </c>
      <c r="L121">
        <v>0</v>
      </c>
      <c r="M121">
        <v>30</v>
      </c>
    </row>
    <row r="122" spans="1:13" x14ac:dyDescent="0.25">
      <c r="A122">
        <v>18</v>
      </c>
      <c r="B122">
        <v>9</v>
      </c>
      <c r="C122">
        <v>121</v>
      </c>
      <c r="D122">
        <v>30</v>
      </c>
      <c r="E122">
        <v>5000</v>
      </c>
      <c r="F122">
        <v>12.5</v>
      </c>
      <c r="G122">
        <v>5</v>
      </c>
      <c r="H122">
        <v>78</v>
      </c>
      <c r="I122">
        <v>23.076923076922998</v>
      </c>
      <c r="J122">
        <v>17.788461538461501</v>
      </c>
      <c r="K122">
        <v>35.336538461538403</v>
      </c>
      <c r="L122">
        <v>0</v>
      </c>
      <c r="M122">
        <v>30</v>
      </c>
    </row>
    <row r="123" spans="1:13" x14ac:dyDescent="0.25">
      <c r="A123">
        <v>18</v>
      </c>
      <c r="B123">
        <v>10</v>
      </c>
      <c r="C123">
        <v>122</v>
      </c>
      <c r="D123">
        <v>30</v>
      </c>
      <c r="E123">
        <v>5000</v>
      </c>
      <c r="F123">
        <v>12.5</v>
      </c>
      <c r="G123">
        <v>5</v>
      </c>
      <c r="H123">
        <v>78</v>
      </c>
      <c r="I123">
        <v>23.076923076922998</v>
      </c>
      <c r="J123">
        <v>17.788461538461501</v>
      </c>
      <c r="K123">
        <v>35.336538461538403</v>
      </c>
      <c r="L123" s="1">
        <v>1.13493064312736E-4</v>
      </c>
      <c r="M123">
        <v>30</v>
      </c>
    </row>
    <row r="124" spans="1:13" x14ac:dyDescent="0.25">
      <c r="A124">
        <v>18</v>
      </c>
      <c r="B124">
        <v>11</v>
      </c>
      <c r="C124">
        <v>123</v>
      </c>
      <c r="D124">
        <v>30</v>
      </c>
      <c r="E124">
        <v>5000</v>
      </c>
      <c r="F124">
        <v>12.5</v>
      </c>
      <c r="G124">
        <v>5</v>
      </c>
      <c r="H124">
        <v>78</v>
      </c>
      <c r="I124">
        <v>23.076923076922998</v>
      </c>
      <c r="J124">
        <v>17.788461538461501</v>
      </c>
      <c r="K124">
        <v>35.336538461538403</v>
      </c>
      <c r="L124" s="1">
        <v>1.2382739212007501E-4</v>
      </c>
      <c r="M124">
        <v>30</v>
      </c>
    </row>
  </sheetData>
  <autoFilter ref="A1:M124" xr:uid="{B02C56C4-F14F-4A3C-B058-85825EDE54D8}">
    <sortState xmlns:xlrd2="http://schemas.microsoft.com/office/spreadsheetml/2017/richdata2" ref="A2:M124">
      <sortCondition ref="A1:A12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D5F0B-BCD9-40E6-B107-DE8B584F190B}">
  <dimension ref="A1:O82"/>
  <sheetViews>
    <sheetView workbookViewId="0">
      <pane ySplit="1" topLeftCell="A2" activePane="bottomLeft" state="frozen"/>
      <selection pane="bottomLeft" sqref="A1:O1"/>
    </sheetView>
  </sheetViews>
  <sheetFormatPr baseColWidth="10" defaultColWidth="16.140625" defaultRowHeight="15" x14ac:dyDescent="0.25"/>
  <cols>
    <col min="1" max="1" width="16.28515625" style="2" bestFit="1" customWidth="1"/>
    <col min="2" max="2" width="10.85546875" style="2" bestFit="1" customWidth="1"/>
    <col min="3" max="3" width="15.140625" style="2" bestFit="1" customWidth="1"/>
    <col min="4" max="4" width="15.5703125" style="2" bestFit="1" customWidth="1"/>
    <col min="5" max="5" width="17" style="2" bestFit="1" customWidth="1"/>
    <col min="6" max="6" width="14.28515625" style="2" bestFit="1" customWidth="1"/>
    <col min="7" max="7" width="12" style="2" bestFit="1" customWidth="1"/>
    <col min="8" max="8" width="19.42578125" style="2" bestFit="1" customWidth="1"/>
    <col min="9" max="9" width="16.140625" style="2"/>
    <col min="10" max="10" width="17.5703125" style="2" bestFit="1" customWidth="1"/>
    <col min="11" max="11" width="15.140625" style="2" bestFit="1" customWidth="1"/>
    <col min="12" max="12" width="11.5703125" style="2" bestFit="1" customWidth="1"/>
    <col min="13" max="13" width="16.42578125" style="2" bestFit="1" customWidth="1"/>
    <col min="14" max="14" width="22" style="2" bestFit="1" customWidth="1"/>
    <col min="15" max="15" width="15.42578125" style="2" bestFit="1" customWidth="1"/>
    <col min="16" max="16384" width="16.140625" style="2"/>
  </cols>
  <sheetData>
    <row r="1" spans="1:15" x14ac:dyDescent="0.25">
      <c r="A1" s="2" t="s">
        <v>20</v>
      </c>
      <c r="B1" t="s">
        <v>0</v>
      </c>
      <c r="C1" t="s">
        <v>1</v>
      </c>
      <c r="D1" t="s">
        <v>2</v>
      </c>
      <c r="E1" t="s">
        <v>3</v>
      </c>
      <c r="F1" s="2" t="s">
        <v>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2" t="s">
        <v>18</v>
      </c>
      <c r="B2" s="2">
        <v>1</v>
      </c>
      <c r="C2" s="2">
        <v>1</v>
      </c>
      <c r="D2" s="2">
        <v>1</v>
      </c>
      <c r="E2" s="2">
        <v>5</v>
      </c>
      <c r="F2" s="2">
        <v>0</v>
      </c>
      <c r="G2" s="2">
        <v>5000</v>
      </c>
      <c r="H2" s="2">
        <v>12.5</v>
      </c>
      <c r="I2" s="2">
        <v>5</v>
      </c>
      <c r="J2" s="2">
        <v>78</v>
      </c>
      <c r="K2" s="2">
        <v>1.2820512820512799</v>
      </c>
      <c r="L2" s="2">
        <v>6.8910256410256396</v>
      </c>
      <c r="M2" s="2">
        <v>5.3445512820512802</v>
      </c>
      <c r="N2" s="2">
        <v>0</v>
      </c>
      <c r="O2" s="2">
        <v>5</v>
      </c>
    </row>
    <row r="3" spans="1:15" x14ac:dyDescent="0.25">
      <c r="A3" s="2" t="s">
        <v>18</v>
      </c>
      <c r="B3" s="2">
        <v>1</v>
      </c>
      <c r="C3" s="2">
        <v>2</v>
      </c>
      <c r="D3" s="2">
        <v>2</v>
      </c>
      <c r="E3" s="2">
        <v>5</v>
      </c>
      <c r="F3" s="2">
        <v>5</v>
      </c>
      <c r="G3" s="2">
        <v>5000</v>
      </c>
      <c r="H3" s="2">
        <v>12.5</v>
      </c>
      <c r="I3" s="2">
        <v>5</v>
      </c>
      <c r="J3" s="2">
        <v>78</v>
      </c>
      <c r="K3" s="2">
        <v>1.2820512820512799</v>
      </c>
      <c r="L3" s="2">
        <v>6.8910256410256396</v>
      </c>
      <c r="M3" s="2">
        <v>5.3445512820512802</v>
      </c>
      <c r="N3" s="2">
        <v>6.8910256410256304E-2</v>
      </c>
      <c r="O3" s="2">
        <v>5</v>
      </c>
    </row>
    <row r="4" spans="1:15" x14ac:dyDescent="0.25">
      <c r="A4" s="2" t="s">
        <v>18</v>
      </c>
      <c r="B4" s="2">
        <v>1</v>
      </c>
      <c r="C4" s="2">
        <v>3</v>
      </c>
      <c r="D4" s="2">
        <v>3</v>
      </c>
      <c r="E4" s="2">
        <v>5</v>
      </c>
      <c r="F4" s="2">
        <v>10</v>
      </c>
      <c r="G4" s="2">
        <v>5000</v>
      </c>
      <c r="H4" s="2">
        <v>12.5</v>
      </c>
      <c r="I4" s="2">
        <v>5</v>
      </c>
      <c r="J4" s="2">
        <v>78</v>
      </c>
      <c r="K4" s="2">
        <v>1.2820512820512799</v>
      </c>
      <c r="L4" s="2">
        <v>6.8910256410256396</v>
      </c>
      <c r="M4" s="2">
        <v>5.3445512820512802</v>
      </c>
      <c r="N4" s="2">
        <v>0.137820512820512</v>
      </c>
      <c r="O4" s="2">
        <v>5</v>
      </c>
    </row>
    <row r="5" spans="1:15" x14ac:dyDescent="0.25">
      <c r="A5" s="2" t="s">
        <v>18</v>
      </c>
      <c r="B5" s="2">
        <v>1</v>
      </c>
      <c r="C5" s="2">
        <v>4</v>
      </c>
      <c r="D5" s="2">
        <v>4</v>
      </c>
      <c r="E5" s="2">
        <v>5</v>
      </c>
      <c r="F5" s="2">
        <v>15</v>
      </c>
      <c r="G5" s="2">
        <v>5000</v>
      </c>
      <c r="H5" s="2">
        <v>12.5</v>
      </c>
      <c r="I5" s="2">
        <v>5</v>
      </c>
      <c r="J5" s="2">
        <v>78</v>
      </c>
      <c r="K5" s="2">
        <v>1.2820512820512799</v>
      </c>
      <c r="L5" s="2">
        <v>6.8910256410256396</v>
      </c>
      <c r="M5" s="2">
        <v>5.3445512820512802</v>
      </c>
      <c r="N5" s="2">
        <v>0.206730769230769</v>
      </c>
      <c r="O5" s="2">
        <v>5</v>
      </c>
    </row>
    <row r="6" spans="1:15" x14ac:dyDescent="0.25">
      <c r="A6" s="2" t="s">
        <v>18</v>
      </c>
      <c r="B6" s="2">
        <v>2</v>
      </c>
      <c r="C6" s="2">
        <v>1</v>
      </c>
      <c r="D6" s="2">
        <v>5</v>
      </c>
      <c r="E6" s="2">
        <v>39</v>
      </c>
      <c r="F6" s="2">
        <v>20</v>
      </c>
      <c r="G6" s="2">
        <v>5000</v>
      </c>
      <c r="H6" s="2">
        <v>12.5</v>
      </c>
      <c r="I6" s="2">
        <v>5</v>
      </c>
      <c r="J6" s="2">
        <v>78</v>
      </c>
      <c r="K6" s="2">
        <v>2.5641025641025599</v>
      </c>
      <c r="L6" s="2">
        <v>7.5320512820512802</v>
      </c>
      <c r="M6" s="2">
        <v>41.9375</v>
      </c>
      <c r="N6" s="2">
        <v>0</v>
      </c>
      <c r="O6" s="2">
        <v>41</v>
      </c>
    </row>
    <row r="7" spans="1:15" x14ac:dyDescent="0.25">
      <c r="A7" s="2" t="s">
        <v>18</v>
      </c>
      <c r="B7" s="2">
        <v>1</v>
      </c>
      <c r="C7" s="2">
        <v>5</v>
      </c>
      <c r="D7" s="2">
        <v>6</v>
      </c>
      <c r="E7" s="2">
        <v>5</v>
      </c>
      <c r="F7" s="2">
        <v>61</v>
      </c>
      <c r="G7" s="2">
        <v>5000</v>
      </c>
      <c r="H7" s="2">
        <v>12.5</v>
      </c>
      <c r="I7" s="2">
        <v>5</v>
      </c>
      <c r="J7" s="2">
        <v>78</v>
      </c>
      <c r="K7" s="2">
        <v>1.2820512820512799</v>
      </c>
      <c r="L7" s="2">
        <v>6.8910256410256396</v>
      </c>
      <c r="M7" s="2">
        <v>5.3445512820512802</v>
      </c>
      <c r="N7" s="2">
        <v>0</v>
      </c>
      <c r="O7" s="2">
        <v>5</v>
      </c>
    </row>
    <row r="8" spans="1:15" x14ac:dyDescent="0.25">
      <c r="A8" s="2" t="s">
        <v>18</v>
      </c>
      <c r="B8" s="2">
        <v>1</v>
      </c>
      <c r="C8" s="2">
        <v>6</v>
      </c>
      <c r="D8" s="2">
        <v>7</v>
      </c>
      <c r="E8" s="2">
        <v>5</v>
      </c>
      <c r="F8" s="2">
        <v>66</v>
      </c>
      <c r="G8" s="2">
        <v>5000</v>
      </c>
      <c r="H8" s="2">
        <v>12.5</v>
      </c>
      <c r="I8" s="2">
        <v>5</v>
      </c>
      <c r="J8" s="2">
        <v>78</v>
      </c>
      <c r="K8" s="2">
        <v>1.2820512820512799</v>
      </c>
      <c r="L8" s="2">
        <v>6.8910256410256396</v>
      </c>
      <c r="M8" s="2">
        <v>5.3445512820512802</v>
      </c>
      <c r="N8" s="2">
        <v>0</v>
      </c>
      <c r="O8" s="2">
        <v>5</v>
      </c>
    </row>
    <row r="9" spans="1:15" x14ac:dyDescent="0.25">
      <c r="A9" s="2" t="s">
        <v>18</v>
      </c>
      <c r="B9" s="2">
        <v>1</v>
      </c>
      <c r="C9" s="2">
        <v>7</v>
      </c>
      <c r="D9" s="2">
        <v>8</v>
      </c>
      <c r="E9" s="2">
        <v>5</v>
      </c>
      <c r="F9" s="2">
        <v>71</v>
      </c>
      <c r="G9" s="2">
        <v>5000</v>
      </c>
      <c r="H9" s="2">
        <v>12.5</v>
      </c>
      <c r="I9" s="2">
        <v>5</v>
      </c>
      <c r="J9" s="2">
        <v>78</v>
      </c>
      <c r="K9" s="2">
        <v>1.2820512820512799</v>
      </c>
      <c r="L9" s="2">
        <v>6.8910256410256396</v>
      </c>
      <c r="M9" s="2">
        <v>5.3445512820512802</v>
      </c>
      <c r="N9" s="2">
        <v>0</v>
      </c>
      <c r="O9" s="2">
        <v>5</v>
      </c>
    </row>
    <row r="10" spans="1:15" x14ac:dyDescent="0.25">
      <c r="A10" s="2" t="s">
        <v>18</v>
      </c>
      <c r="B10" s="2">
        <v>1</v>
      </c>
      <c r="C10" s="2">
        <v>8</v>
      </c>
      <c r="D10" s="2">
        <v>9</v>
      </c>
      <c r="E10" s="2">
        <v>5</v>
      </c>
      <c r="F10" s="2">
        <v>76</v>
      </c>
      <c r="G10" s="2">
        <v>5000</v>
      </c>
      <c r="H10" s="2">
        <v>12.5</v>
      </c>
      <c r="I10" s="2">
        <v>5</v>
      </c>
      <c r="J10" s="2">
        <v>78</v>
      </c>
      <c r="K10" s="2">
        <v>1.2820512820512799</v>
      </c>
      <c r="L10" s="2">
        <v>6.8910256410256396</v>
      </c>
      <c r="M10" s="2">
        <v>5.3445512820512802</v>
      </c>
      <c r="N10" s="2">
        <v>0</v>
      </c>
      <c r="O10" s="2">
        <v>5</v>
      </c>
    </row>
    <row r="11" spans="1:15" x14ac:dyDescent="0.25">
      <c r="A11" s="2" t="s">
        <v>18</v>
      </c>
      <c r="B11" s="2">
        <v>3</v>
      </c>
      <c r="C11" s="2">
        <v>1</v>
      </c>
      <c r="D11" s="2">
        <v>10</v>
      </c>
      <c r="E11" s="2">
        <v>52</v>
      </c>
      <c r="F11" s="2">
        <v>81</v>
      </c>
      <c r="G11" s="2">
        <v>5000</v>
      </c>
      <c r="H11" s="2">
        <v>12.5</v>
      </c>
      <c r="I11" s="2">
        <v>5</v>
      </c>
      <c r="J11" s="2">
        <v>78</v>
      </c>
      <c r="K11" s="2">
        <v>3.84615384615384</v>
      </c>
      <c r="L11" s="2">
        <v>8.1730769230769198</v>
      </c>
      <c r="M11" s="2">
        <v>56.25</v>
      </c>
      <c r="N11" s="2">
        <v>0</v>
      </c>
      <c r="O11" s="2">
        <v>56</v>
      </c>
    </row>
    <row r="12" spans="1:15" x14ac:dyDescent="0.25">
      <c r="A12" s="2" t="s">
        <v>18</v>
      </c>
      <c r="B12" s="2">
        <v>3</v>
      </c>
      <c r="C12" s="2">
        <v>2</v>
      </c>
      <c r="D12" s="2">
        <v>11</v>
      </c>
      <c r="E12" s="2">
        <v>52</v>
      </c>
      <c r="F12" s="2">
        <v>137</v>
      </c>
      <c r="G12" s="2">
        <v>5000</v>
      </c>
      <c r="H12" s="2">
        <v>12.5</v>
      </c>
      <c r="I12" s="2">
        <v>5</v>
      </c>
      <c r="J12" s="2">
        <v>78</v>
      </c>
      <c r="K12" s="2">
        <v>3.84615384615384</v>
      </c>
      <c r="L12" s="2">
        <v>8.1730769230769198</v>
      </c>
      <c r="M12" s="2">
        <v>56.25</v>
      </c>
      <c r="N12" s="2">
        <v>0.85</v>
      </c>
      <c r="O12" s="2">
        <v>56</v>
      </c>
    </row>
    <row r="13" spans="1:15" x14ac:dyDescent="0.25">
      <c r="A13" s="2" t="s">
        <v>18</v>
      </c>
      <c r="B13" s="2">
        <v>3</v>
      </c>
      <c r="C13" s="2">
        <v>3</v>
      </c>
      <c r="D13" s="2">
        <v>12</v>
      </c>
      <c r="E13" s="2">
        <v>52</v>
      </c>
      <c r="F13" s="2">
        <v>193</v>
      </c>
      <c r="G13" s="2">
        <v>5000</v>
      </c>
      <c r="H13" s="2">
        <v>12.5</v>
      </c>
      <c r="I13" s="2">
        <v>5</v>
      </c>
      <c r="J13" s="2">
        <v>78</v>
      </c>
      <c r="K13" s="2">
        <v>3.84615384615384</v>
      </c>
      <c r="L13" s="2">
        <v>8.1730769230769198</v>
      </c>
      <c r="M13" s="2">
        <v>56.25</v>
      </c>
      <c r="N13" s="2">
        <v>1.7</v>
      </c>
      <c r="O13" s="2">
        <v>55</v>
      </c>
    </row>
    <row r="14" spans="1:15" x14ac:dyDescent="0.25">
      <c r="A14" s="2" t="s">
        <v>18</v>
      </c>
      <c r="B14" s="2">
        <v>3</v>
      </c>
      <c r="C14" s="2">
        <v>4</v>
      </c>
      <c r="D14" s="2">
        <v>13</v>
      </c>
      <c r="E14" s="2">
        <v>52</v>
      </c>
      <c r="F14" s="2">
        <v>248</v>
      </c>
      <c r="G14" s="2">
        <v>5000</v>
      </c>
      <c r="H14" s="2">
        <v>12.5</v>
      </c>
      <c r="I14" s="2">
        <v>5</v>
      </c>
      <c r="J14" s="2">
        <v>78</v>
      </c>
      <c r="K14" s="2">
        <v>3.84615384615384</v>
      </c>
      <c r="L14" s="2">
        <v>8.1730769230769198</v>
      </c>
      <c r="M14" s="2">
        <v>56.25</v>
      </c>
      <c r="N14" s="2">
        <v>2.5499999999999998</v>
      </c>
      <c r="O14" s="2">
        <v>54</v>
      </c>
    </row>
    <row r="15" spans="1:15" x14ac:dyDescent="0.25">
      <c r="A15" s="2" t="s">
        <v>18</v>
      </c>
      <c r="B15" s="2">
        <v>4</v>
      </c>
      <c r="C15" s="2">
        <v>1</v>
      </c>
      <c r="D15" s="2">
        <v>14</v>
      </c>
      <c r="E15" s="2">
        <v>60</v>
      </c>
      <c r="F15" s="2">
        <v>302</v>
      </c>
      <c r="G15" s="2">
        <v>5000</v>
      </c>
      <c r="H15" s="2">
        <v>12.5</v>
      </c>
      <c r="I15" s="2">
        <v>5</v>
      </c>
      <c r="J15" s="2">
        <v>78</v>
      </c>
      <c r="K15" s="2">
        <v>5.1282051282051198</v>
      </c>
      <c r="L15" s="2">
        <v>8.8141025641025603</v>
      </c>
      <c r="M15" s="2">
        <v>65.288461538461505</v>
      </c>
      <c r="N15" s="2">
        <v>0</v>
      </c>
      <c r="O15" s="2">
        <v>65</v>
      </c>
    </row>
    <row r="16" spans="1:15" x14ac:dyDescent="0.25">
      <c r="A16" s="2" t="s">
        <v>18</v>
      </c>
      <c r="B16" s="2">
        <v>4</v>
      </c>
      <c r="C16" s="2">
        <v>2</v>
      </c>
      <c r="D16" s="2">
        <v>15</v>
      </c>
      <c r="E16" s="2">
        <v>60</v>
      </c>
      <c r="F16" s="2">
        <v>367</v>
      </c>
      <c r="G16" s="2">
        <v>5000</v>
      </c>
      <c r="H16" s="2">
        <v>12.5</v>
      </c>
      <c r="I16" s="2">
        <v>5</v>
      </c>
      <c r="J16" s="2">
        <v>78</v>
      </c>
      <c r="K16" s="2">
        <v>5.1282051282051198</v>
      </c>
      <c r="L16" s="2">
        <v>8.8141025641025603</v>
      </c>
      <c r="M16" s="2">
        <v>65.288461538461505</v>
      </c>
      <c r="N16" s="2">
        <v>1.0576923076922999</v>
      </c>
      <c r="O16" s="2">
        <v>64</v>
      </c>
    </row>
    <row r="17" spans="1:15" x14ac:dyDescent="0.25">
      <c r="A17" s="2" t="s">
        <v>18</v>
      </c>
      <c r="B17" s="2">
        <v>5</v>
      </c>
      <c r="C17" s="2">
        <v>1</v>
      </c>
      <c r="D17" s="2">
        <v>16</v>
      </c>
      <c r="E17" s="2">
        <v>10</v>
      </c>
      <c r="F17" s="2">
        <v>431</v>
      </c>
      <c r="G17" s="2">
        <v>5000</v>
      </c>
      <c r="H17" s="2">
        <v>12.5</v>
      </c>
      <c r="I17" s="2">
        <v>5</v>
      </c>
      <c r="J17" s="2">
        <v>78</v>
      </c>
      <c r="K17" s="2">
        <v>6.4102564102564097</v>
      </c>
      <c r="L17" s="2">
        <v>9.4551282051282008</v>
      </c>
      <c r="M17" s="2">
        <v>10.9455128205128</v>
      </c>
      <c r="N17" s="2">
        <v>0</v>
      </c>
      <c r="O17" s="2">
        <v>10</v>
      </c>
    </row>
    <row r="18" spans="1:15" x14ac:dyDescent="0.25">
      <c r="A18" s="2" t="s">
        <v>18</v>
      </c>
      <c r="B18" s="2">
        <v>5</v>
      </c>
      <c r="C18" s="2">
        <v>2</v>
      </c>
      <c r="D18" s="2">
        <v>17</v>
      </c>
      <c r="E18" s="2">
        <v>10</v>
      </c>
      <c r="F18" s="2">
        <v>441</v>
      </c>
      <c r="G18" s="2">
        <v>5000</v>
      </c>
      <c r="H18" s="2">
        <v>12.5</v>
      </c>
      <c r="I18" s="2">
        <v>5</v>
      </c>
      <c r="J18" s="2">
        <v>78</v>
      </c>
      <c r="K18" s="2">
        <v>6.4102564102564097</v>
      </c>
      <c r="L18" s="2">
        <v>9.4551282051282008</v>
      </c>
      <c r="M18" s="2">
        <v>10.9455128205128</v>
      </c>
      <c r="N18" s="2">
        <v>0.18910256410256401</v>
      </c>
      <c r="O18" s="2">
        <v>10</v>
      </c>
    </row>
    <row r="19" spans="1:15" x14ac:dyDescent="0.25">
      <c r="A19" s="2" t="s">
        <v>18</v>
      </c>
      <c r="B19" s="2">
        <v>6</v>
      </c>
      <c r="C19" s="2">
        <v>1</v>
      </c>
      <c r="D19" s="2">
        <v>18</v>
      </c>
      <c r="E19" s="2">
        <v>3</v>
      </c>
      <c r="F19" s="2">
        <v>451</v>
      </c>
      <c r="G19" s="2">
        <v>5000</v>
      </c>
      <c r="H19" s="2">
        <v>12.5</v>
      </c>
      <c r="I19" s="2">
        <v>5</v>
      </c>
      <c r="J19" s="2">
        <v>78</v>
      </c>
      <c r="K19" s="2">
        <v>7.6923076923076898</v>
      </c>
      <c r="L19" s="2">
        <v>10.096153846153801</v>
      </c>
      <c r="M19" s="2">
        <v>3.3028846153846101</v>
      </c>
      <c r="N19" s="2">
        <v>0</v>
      </c>
      <c r="O19" s="2">
        <v>3</v>
      </c>
    </row>
    <row r="20" spans="1:15" x14ac:dyDescent="0.25">
      <c r="A20" s="2" t="s">
        <v>18</v>
      </c>
      <c r="B20" s="2">
        <v>4</v>
      </c>
      <c r="C20" s="2">
        <v>3</v>
      </c>
      <c r="D20" s="2">
        <v>19</v>
      </c>
      <c r="E20" s="2">
        <v>60</v>
      </c>
      <c r="F20" s="2">
        <v>454</v>
      </c>
      <c r="G20" s="2">
        <v>5000</v>
      </c>
      <c r="H20" s="2">
        <v>12.5</v>
      </c>
      <c r="I20" s="2">
        <v>5</v>
      </c>
      <c r="J20" s="2">
        <v>78</v>
      </c>
      <c r="K20" s="2">
        <v>5.1282051282051198</v>
      </c>
      <c r="L20" s="2">
        <v>8.8141025641025603</v>
      </c>
      <c r="M20" s="2">
        <v>65.288461538461505</v>
      </c>
      <c r="N20" s="2">
        <v>2.1153846153846101</v>
      </c>
      <c r="O20" s="2">
        <v>63</v>
      </c>
    </row>
    <row r="21" spans="1:15" x14ac:dyDescent="0.25">
      <c r="A21" s="2" t="s">
        <v>18</v>
      </c>
      <c r="B21" s="2">
        <v>7</v>
      </c>
      <c r="C21" s="2">
        <v>1</v>
      </c>
      <c r="D21" s="2">
        <v>20</v>
      </c>
      <c r="E21" s="2">
        <v>2</v>
      </c>
      <c r="F21" s="2">
        <v>581</v>
      </c>
      <c r="G21" s="2">
        <v>5000</v>
      </c>
      <c r="H21" s="2">
        <v>12.5</v>
      </c>
      <c r="I21" s="2">
        <v>5</v>
      </c>
      <c r="J21" s="2">
        <v>78</v>
      </c>
      <c r="K21" s="2">
        <v>8.9743589743589691</v>
      </c>
      <c r="L21" s="2">
        <v>10.7371794871794</v>
      </c>
      <c r="M21" s="2">
        <v>2.2147435897435899</v>
      </c>
      <c r="N21" s="2">
        <v>0</v>
      </c>
      <c r="O21" s="2">
        <v>2</v>
      </c>
    </row>
    <row r="22" spans="1:15" x14ac:dyDescent="0.25">
      <c r="A22" s="2" t="s">
        <v>18</v>
      </c>
      <c r="B22" s="2">
        <v>7</v>
      </c>
      <c r="C22" s="2">
        <v>2</v>
      </c>
      <c r="D22" s="2">
        <v>21</v>
      </c>
      <c r="E22" s="2">
        <v>2</v>
      </c>
      <c r="F22" s="2">
        <v>583</v>
      </c>
      <c r="G22" s="2">
        <v>5000</v>
      </c>
      <c r="H22" s="2">
        <v>12.5</v>
      </c>
      <c r="I22" s="2">
        <v>5</v>
      </c>
      <c r="J22" s="2">
        <v>78</v>
      </c>
      <c r="K22" s="2">
        <v>8.9743589743589691</v>
      </c>
      <c r="L22" s="2">
        <v>10.7371794871794</v>
      </c>
      <c r="M22" s="2">
        <v>2.2147435897435899</v>
      </c>
      <c r="N22" s="2">
        <v>4.29487179487179E-2</v>
      </c>
      <c r="O22" s="2">
        <v>2</v>
      </c>
    </row>
    <row r="23" spans="1:15" x14ac:dyDescent="0.25">
      <c r="A23" s="2" t="s">
        <v>18</v>
      </c>
      <c r="B23" s="2">
        <v>1</v>
      </c>
      <c r="C23" s="2">
        <v>9</v>
      </c>
      <c r="D23" s="2">
        <v>22</v>
      </c>
      <c r="E23" s="2">
        <v>5</v>
      </c>
      <c r="F23" s="2">
        <v>585</v>
      </c>
      <c r="G23" s="2">
        <v>5000</v>
      </c>
      <c r="H23" s="2">
        <v>12.5</v>
      </c>
      <c r="I23" s="2">
        <v>5</v>
      </c>
      <c r="J23" s="2">
        <v>78</v>
      </c>
      <c r="K23" s="2">
        <v>1.2820512820512799</v>
      </c>
      <c r="L23" s="2">
        <v>6.8910256410256396</v>
      </c>
      <c r="M23" s="2">
        <v>5.3445512820512802</v>
      </c>
      <c r="N23" s="2">
        <v>0</v>
      </c>
      <c r="O23" s="2">
        <v>5</v>
      </c>
    </row>
    <row r="24" spans="1:15" x14ac:dyDescent="0.25">
      <c r="A24" s="2" t="s">
        <v>18</v>
      </c>
      <c r="B24" s="2">
        <v>7</v>
      </c>
      <c r="C24" s="2">
        <v>3</v>
      </c>
      <c r="D24" s="2">
        <v>23</v>
      </c>
      <c r="E24" s="2">
        <v>2</v>
      </c>
      <c r="F24" s="2">
        <v>590</v>
      </c>
      <c r="G24" s="2">
        <v>5000</v>
      </c>
      <c r="H24" s="2">
        <v>12.5</v>
      </c>
      <c r="I24" s="2">
        <v>5</v>
      </c>
      <c r="J24" s="2">
        <v>78</v>
      </c>
      <c r="K24" s="2">
        <v>8.9743589743589691</v>
      </c>
      <c r="L24" s="2">
        <v>10.7371794871794</v>
      </c>
      <c r="M24" s="2">
        <v>2.2147435897435899</v>
      </c>
      <c r="N24" s="2">
        <v>8.5897435897435898E-2</v>
      </c>
      <c r="O24" s="2">
        <v>2</v>
      </c>
    </row>
    <row r="25" spans="1:15" x14ac:dyDescent="0.25">
      <c r="A25" s="2" t="s">
        <v>18</v>
      </c>
      <c r="B25" s="2">
        <v>8</v>
      </c>
      <c r="C25" s="2">
        <v>1</v>
      </c>
      <c r="D25" s="2">
        <v>24</v>
      </c>
      <c r="E25" s="2">
        <v>4</v>
      </c>
      <c r="F25" s="2">
        <v>592</v>
      </c>
      <c r="G25" s="2">
        <v>5000</v>
      </c>
      <c r="H25" s="2">
        <v>12.5</v>
      </c>
      <c r="I25" s="2">
        <v>5</v>
      </c>
      <c r="J25" s="2">
        <v>78</v>
      </c>
      <c r="K25" s="2">
        <v>10.2564102564102</v>
      </c>
      <c r="L25" s="2">
        <v>11.378205128205099</v>
      </c>
      <c r="M25" s="2">
        <v>4.4551282051282</v>
      </c>
      <c r="N25" s="2">
        <v>0</v>
      </c>
      <c r="O25" s="2">
        <v>4</v>
      </c>
    </row>
    <row r="26" spans="1:15" x14ac:dyDescent="0.25">
      <c r="A26" s="2" t="s">
        <v>18</v>
      </c>
      <c r="B26" s="2">
        <v>8</v>
      </c>
      <c r="C26" s="2">
        <v>2</v>
      </c>
      <c r="D26" s="2">
        <v>25</v>
      </c>
      <c r="E26" s="2">
        <v>4</v>
      </c>
      <c r="F26" s="2">
        <v>596</v>
      </c>
      <c r="G26" s="2">
        <v>5000</v>
      </c>
      <c r="H26" s="2">
        <v>12.5</v>
      </c>
      <c r="I26" s="2">
        <v>5</v>
      </c>
      <c r="J26" s="2">
        <v>78</v>
      </c>
      <c r="K26" s="2">
        <v>10.2564102564102</v>
      </c>
      <c r="L26" s="2">
        <v>11.378205128205099</v>
      </c>
      <c r="M26" s="2">
        <v>4.4551282051282</v>
      </c>
      <c r="N26" s="2">
        <v>9.1025641025640994E-2</v>
      </c>
      <c r="O26" s="2">
        <v>4</v>
      </c>
    </row>
    <row r="27" spans="1:15" x14ac:dyDescent="0.25">
      <c r="A27" s="2" t="s">
        <v>18</v>
      </c>
      <c r="B27" s="2">
        <v>3</v>
      </c>
      <c r="C27" s="2">
        <v>5</v>
      </c>
      <c r="D27" s="2">
        <v>26</v>
      </c>
      <c r="E27" s="2">
        <v>52</v>
      </c>
      <c r="F27" s="2">
        <v>600</v>
      </c>
      <c r="G27" s="2">
        <v>5000</v>
      </c>
      <c r="H27" s="2">
        <v>12.5</v>
      </c>
      <c r="I27" s="2">
        <v>5</v>
      </c>
      <c r="J27" s="2">
        <v>78</v>
      </c>
      <c r="K27" s="2">
        <v>3.84615384615384</v>
      </c>
      <c r="L27" s="2">
        <v>8.1730769230769198</v>
      </c>
      <c r="M27" s="2">
        <v>56.25</v>
      </c>
      <c r="N27" s="2">
        <v>0</v>
      </c>
      <c r="O27" s="2">
        <v>52</v>
      </c>
    </row>
    <row r="28" spans="1:15" x14ac:dyDescent="0.25">
      <c r="A28" s="2" t="s">
        <v>18</v>
      </c>
      <c r="B28" s="2">
        <v>8</v>
      </c>
      <c r="C28" s="2">
        <v>3</v>
      </c>
      <c r="D28" s="2">
        <v>27</v>
      </c>
      <c r="E28" s="2">
        <v>4</v>
      </c>
      <c r="F28" s="2">
        <v>652</v>
      </c>
      <c r="G28" s="2">
        <v>5000</v>
      </c>
      <c r="H28" s="2">
        <v>12.5</v>
      </c>
      <c r="I28" s="2">
        <v>5</v>
      </c>
      <c r="J28" s="2">
        <v>78</v>
      </c>
      <c r="K28" s="2">
        <v>10.2564102564102</v>
      </c>
      <c r="L28" s="2">
        <v>11.378205128205099</v>
      </c>
      <c r="M28" s="2">
        <v>4.4551282051282</v>
      </c>
      <c r="N28" s="2">
        <v>0.18205128205128199</v>
      </c>
      <c r="O28" s="2">
        <v>4</v>
      </c>
    </row>
    <row r="29" spans="1:15" x14ac:dyDescent="0.25">
      <c r="A29" s="2" t="s">
        <v>18</v>
      </c>
      <c r="B29" s="2">
        <v>6</v>
      </c>
      <c r="C29" s="2">
        <v>2</v>
      </c>
      <c r="D29" s="2">
        <v>28</v>
      </c>
      <c r="E29" s="2">
        <v>3</v>
      </c>
      <c r="F29" s="2">
        <v>656</v>
      </c>
      <c r="G29" s="2">
        <v>5000</v>
      </c>
      <c r="H29" s="2">
        <v>12.5</v>
      </c>
      <c r="I29" s="2">
        <v>5</v>
      </c>
      <c r="J29" s="2">
        <v>78</v>
      </c>
      <c r="K29" s="2">
        <v>7.6923076923076898</v>
      </c>
      <c r="L29" s="2">
        <v>10.096153846153801</v>
      </c>
      <c r="M29" s="2">
        <v>3.3028846153846101</v>
      </c>
      <c r="N29" s="2">
        <v>6.0576923076923E-2</v>
      </c>
      <c r="O29" s="2">
        <v>3</v>
      </c>
    </row>
    <row r="30" spans="1:15" x14ac:dyDescent="0.25">
      <c r="A30" s="2" t="s">
        <v>18</v>
      </c>
      <c r="B30" s="2">
        <v>9</v>
      </c>
      <c r="C30" s="2">
        <v>1</v>
      </c>
      <c r="D30" s="2">
        <v>29</v>
      </c>
      <c r="E30" s="2">
        <v>4</v>
      </c>
      <c r="F30" s="2">
        <v>659</v>
      </c>
      <c r="G30" s="2">
        <v>5000</v>
      </c>
      <c r="H30" s="2">
        <v>12.5</v>
      </c>
      <c r="I30" s="2">
        <v>5</v>
      </c>
      <c r="J30" s="2">
        <v>78</v>
      </c>
      <c r="K30" s="2">
        <v>11.538461538461499</v>
      </c>
      <c r="L30" s="2">
        <v>12.019230769230701</v>
      </c>
      <c r="M30" s="2">
        <v>4.4807692307692299</v>
      </c>
      <c r="N30" s="2">
        <v>0</v>
      </c>
      <c r="O30" s="2">
        <v>4</v>
      </c>
    </row>
    <row r="31" spans="1:15" x14ac:dyDescent="0.25">
      <c r="A31" s="2" t="s">
        <v>18</v>
      </c>
      <c r="B31" s="2">
        <v>6</v>
      </c>
      <c r="C31" s="2">
        <v>3</v>
      </c>
      <c r="D31" s="2">
        <v>30</v>
      </c>
      <c r="E31" s="2">
        <v>3</v>
      </c>
      <c r="F31" s="2">
        <v>663</v>
      </c>
      <c r="G31" s="2">
        <v>5000</v>
      </c>
      <c r="H31" s="2">
        <v>12.5</v>
      </c>
      <c r="I31" s="2">
        <v>5</v>
      </c>
      <c r="J31" s="2">
        <v>78</v>
      </c>
      <c r="K31" s="2">
        <v>7.6923076923076898</v>
      </c>
      <c r="L31" s="2">
        <v>10.096153846153801</v>
      </c>
      <c r="M31" s="2">
        <v>3.3028846153846101</v>
      </c>
      <c r="N31" s="2">
        <v>0.121153846153846</v>
      </c>
      <c r="O31" s="2">
        <v>3</v>
      </c>
    </row>
    <row r="32" spans="1:15" x14ac:dyDescent="0.25">
      <c r="A32" s="2" t="s">
        <v>18</v>
      </c>
      <c r="B32" s="2">
        <v>10</v>
      </c>
      <c r="C32" s="2">
        <v>1</v>
      </c>
      <c r="D32" s="2">
        <v>31</v>
      </c>
      <c r="E32" s="2">
        <v>5</v>
      </c>
      <c r="F32" s="2">
        <v>730</v>
      </c>
      <c r="G32" s="2">
        <v>5000</v>
      </c>
      <c r="H32" s="2">
        <v>12.5</v>
      </c>
      <c r="I32" s="2">
        <v>5</v>
      </c>
      <c r="J32" s="2">
        <v>78</v>
      </c>
      <c r="K32" s="2">
        <v>12.8205128205128</v>
      </c>
      <c r="L32" s="2">
        <v>12.6602564102564</v>
      </c>
      <c r="M32" s="2">
        <v>5.6330128205128203</v>
      </c>
      <c r="N32" s="2">
        <v>0</v>
      </c>
      <c r="O32" s="2">
        <v>5</v>
      </c>
    </row>
    <row r="33" spans="1:15" x14ac:dyDescent="0.25">
      <c r="A33" s="2" t="s">
        <v>18</v>
      </c>
      <c r="B33" s="2">
        <v>10</v>
      </c>
      <c r="C33" s="2">
        <v>2</v>
      </c>
      <c r="D33" s="2">
        <v>32</v>
      </c>
      <c r="E33" s="2">
        <v>5</v>
      </c>
      <c r="F33" s="2">
        <v>735</v>
      </c>
      <c r="G33" s="2">
        <v>5000</v>
      </c>
      <c r="H33" s="2">
        <v>12.5</v>
      </c>
      <c r="I33" s="2">
        <v>5</v>
      </c>
      <c r="J33" s="2">
        <v>78</v>
      </c>
      <c r="K33" s="2">
        <v>12.8205128205128</v>
      </c>
      <c r="L33" s="2">
        <v>12.6602564102564</v>
      </c>
      <c r="M33" s="2">
        <v>5.6330128205128203</v>
      </c>
      <c r="N33" s="2">
        <v>0.12660256410256401</v>
      </c>
      <c r="O33" s="2">
        <v>5</v>
      </c>
    </row>
    <row r="34" spans="1:15" x14ac:dyDescent="0.25">
      <c r="A34" s="2" t="s">
        <v>18</v>
      </c>
      <c r="B34" s="2">
        <v>7</v>
      </c>
      <c r="C34" s="2">
        <v>4</v>
      </c>
      <c r="D34" s="2">
        <v>33</v>
      </c>
      <c r="E34" s="2">
        <v>2</v>
      </c>
      <c r="F34" s="2">
        <v>740</v>
      </c>
      <c r="G34" s="2">
        <v>5000</v>
      </c>
      <c r="H34" s="2">
        <v>12.5</v>
      </c>
      <c r="I34" s="2">
        <v>5</v>
      </c>
      <c r="J34" s="2">
        <v>78</v>
      </c>
      <c r="K34" s="2">
        <v>8.9743589743589691</v>
      </c>
      <c r="L34" s="2">
        <v>10.7371794871794</v>
      </c>
      <c r="M34" s="2">
        <v>2.2147435897435899</v>
      </c>
      <c r="N34" s="2">
        <v>0.128846153846153</v>
      </c>
      <c r="O34" s="2">
        <v>2</v>
      </c>
    </row>
    <row r="35" spans="1:15" x14ac:dyDescent="0.25">
      <c r="A35" s="2" t="s">
        <v>18</v>
      </c>
      <c r="B35" s="2">
        <v>7</v>
      </c>
      <c r="C35" s="2">
        <v>5</v>
      </c>
      <c r="D35" s="2">
        <v>34</v>
      </c>
      <c r="E35" s="2">
        <v>2</v>
      </c>
      <c r="F35" s="2">
        <v>742</v>
      </c>
      <c r="G35" s="2">
        <v>5000</v>
      </c>
      <c r="H35" s="2">
        <v>12.5</v>
      </c>
      <c r="I35" s="2">
        <v>5</v>
      </c>
      <c r="J35" s="2">
        <v>78</v>
      </c>
      <c r="K35" s="2">
        <v>8.9743589743589691</v>
      </c>
      <c r="L35" s="2">
        <v>10.7371794871794</v>
      </c>
      <c r="M35" s="2">
        <v>2.2147435897435899</v>
      </c>
      <c r="N35" s="2">
        <v>0</v>
      </c>
      <c r="O35" s="2">
        <v>2</v>
      </c>
    </row>
    <row r="36" spans="1:15" x14ac:dyDescent="0.25">
      <c r="A36" s="2" t="s">
        <v>18</v>
      </c>
      <c r="B36" s="2">
        <v>7</v>
      </c>
      <c r="C36" s="2">
        <v>6</v>
      </c>
      <c r="D36" s="2">
        <v>35</v>
      </c>
      <c r="E36" s="2">
        <v>2</v>
      </c>
      <c r="F36" s="2">
        <v>744</v>
      </c>
      <c r="G36" s="2">
        <v>5000</v>
      </c>
      <c r="H36" s="2">
        <v>12.5</v>
      </c>
      <c r="I36" s="2">
        <v>5</v>
      </c>
      <c r="J36" s="2">
        <v>78</v>
      </c>
      <c r="K36" s="2">
        <v>8.9743589743589691</v>
      </c>
      <c r="L36" s="2">
        <v>10.7371794871794</v>
      </c>
      <c r="M36" s="2">
        <v>2.2147435897435899</v>
      </c>
      <c r="N36" s="2">
        <v>0</v>
      </c>
      <c r="O36" s="2">
        <v>2</v>
      </c>
    </row>
    <row r="37" spans="1:15" x14ac:dyDescent="0.25">
      <c r="A37" s="2" t="s">
        <v>18</v>
      </c>
      <c r="B37" s="2">
        <v>7</v>
      </c>
      <c r="C37" s="2">
        <v>7</v>
      </c>
      <c r="D37" s="2">
        <v>36</v>
      </c>
      <c r="E37" s="2">
        <v>2</v>
      </c>
      <c r="F37" s="2">
        <v>746</v>
      </c>
      <c r="G37" s="2">
        <v>5000</v>
      </c>
      <c r="H37" s="2">
        <v>12.5</v>
      </c>
      <c r="I37" s="2">
        <v>5</v>
      </c>
      <c r="J37" s="2">
        <v>78</v>
      </c>
      <c r="K37" s="2">
        <v>8.9743589743589691</v>
      </c>
      <c r="L37" s="2">
        <v>10.7371794871794</v>
      </c>
      <c r="M37" s="2">
        <v>2.2147435897435899</v>
      </c>
      <c r="N37" s="2">
        <v>0</v>
      </c>
      <c r="O37" s="2">
        <v>2</v>
      </c>
    </row>
    <row r="38" spans="1:15" x14ac:dyDescent="0.25">
      <c r="A38" s="2" t="s">
        <v>18</v>
      </c>
      <c r="B38" s="2">
        <v>7</v>
      </c>
      <c r="C38" s="2">
        <v>8</v>
      </c>
      <c r="D38" s="2">
        <v>37</v>
      </c>
      <c r="E38" s="2">
        <v>2</v>
      </c>
      <c r="F38" s="2">
        <v>748</v>
      </c>
      <c r="G38" s="2">
        <v>5000</v>
      </c>
      <c r="H38" s="2">
        <v>12.5</v>
      </c>
      <c r="I38" s="2">
        <v>5</v>
      </c>
      <c r="J38" s="2">
        <v>78</v>
      </c>
      <c r="K38" s="2">
        <v>8.9743589743589691</v>
      </c>
      <c r="L38" s="2">
        <v>10.7371794871794</v>
      </c>
      <c r="M38" s="2">
        <v>2.2147435897435899</v>
      </c>
      <c r="N38" s="2">
        <v>0</v>
      </c>
      <c r="O38" s="2">
        <v>2</v>
      </c>
    </row>
    <row r="39" spans="1:15" x14ac:dyDescent="0.25">
      <c r="A39" s="2" t="s">
        <v>18</v>
      </c>
      <c r="B39" s="2">
        <v>7</v>
      </c>
      <c r="C39" s="2">
        <v>9</v>
      </c>
      <c r="D39" s="2">
        <v>38</v>
      </c>
      <c r="E39" s="2">
        <v>2</v>
      </c>
      <c r="F39" s="2">
        <v>750</v>
      </c>
      <c r="G39" s="2">
        <v>5000</v>
      </c>
      <c r="H39" s="2">
        <v>12.5</v>
      </c>
      <c r="I39" s="2">
        <v>5</v>
      </c>
      <c r="J39" s="2">
        <v>78</v>
      </c>
      <c r="K39" s="2">
        <v>8.9743589743589691</v>
      </c>
      <c r="L39" s="2">
        <v>10.7371794871794</v>
      </c>
      <c r="M39" s="2">
        <v>2.2147435897435899</v>
      </c>
      <c r="N39" s="2">
        <v>0</v>
      </c>
      <c r="O39" s="2">
        <v>2</v>
      </c>
    </row>
    <row r="40" spans="1:15" x14ac:dyDescent="0.25">
      <c r="A40" s="2" t="s">
        <v>18</v>
      </c>
      <c r="B40" s="2">
        <v>7</v>
      </c>
      <c r="C40" s="2">
        <v>10</v>
      </c>
      <c r="D40" s="2">
        <v>39</v>
      </c>
      <c r="E40" s="2">
        <v>2</v>
      </c>
      <c r="F40" s="2">
        <v>752</v>
      </c>
      <c r="G40" s="2">
        <v>5000</v>
      </c>
      <c r="H40" s="2">
        <v>12.5</v>
      </c>
      <c r="I40" s="2">
        <v>5</v>
      </c>
      <c r="J40" s="2">
        <v>78</v>
      </c>
      <c r="K40" s="2">
        <v>8.9743589743589691</v>
      </c>
      <c r="L40" s="2">
        <v>10.7371794871794</v>
      </c>
      <c r="M40" s="2">
        <v>2.2147435897435899</v>
      </c>
      <c r="N40" s="2">
        <v>0</v>
      </c>
      <c r="O40" s="2">
        <v>2</v>
      </c>
    </row>
    <row r="41" spans="1:15" x14ac:dyDescent="0.25">
      <c r="A41" s="2" t="s">
        <v>18</v>
      </c>
      <c r="B41" s="2">
        <v>8</v>
      </c>
      <c r="C41" s="2">
        <v>4</v>
      </c>
      <c r="D41" s="2">
        <v>40</v>
      </c>
      <c r="E41" s="2">
        <v>4</v>
      </c>
      <c r="F41" s="2">
        <v>754</v>
      </c>
      <c r="G41" s="2">
        <v>5000</v>
      </c>
      <c r="H41" s="2">
        <v>12.5</v>
      </c>
      <c r="I41" s="2">
        <v>5</v>
      </c>
      <c r="J41" s="2">
        <v>78</v>
      </c>
      <c r="K41" s="2">
        <v>10.2564102564102</v>
      </c>
      <c r="L41" s="2">
        <v>11.378205128205099</v>
      </c>
      <c r="M41" s="2">
        <v>4.4551282051282</v>
      </c>
      <c r="N41" s="2">
        <v>0.27307692307692299</v>
      </c>
      <c r="O41" s="2">
        <v>4</v>
      </c>
    </row>
    <row r="42" spans="1:15" x14ac:dyDescent="0.25">
      <c r="A42" s="2" t="s">
        <v>18</v>
      </c>
      <c r="B42" s="2">
        <v>8</v>
      </c>
      <c r="C42" s="2">
        <v>5</v>
      </c>
      <c r="D42" s="2">
        <v>41</v>
      </c>
      <c r="E42" s="2">
        <v>4</v>
      </c>
      <c r="F42" s="2">
        <v>758</v>
      </c>
      <c r="G42" s="2">
        <v>5000</v>
      </c>
      <c r="H42" s="2">
        <v>12.5</v>
      </c>
      <c r="I42" s="2">
        <v>5</v>
      </c>
      <c r="J42" s="2">
        <v>78</v>
      </c>
      <c r="K42" s="2">
        <v>10.2564102564102</v>
      </c>
      <c r="L42" s="2">
        <v>11.378205128205099</v>
      </c>
      <c r="M42" s="2">
        <v>4.4551282051282</v>
      </c>
      <c r="N42" s="2">
        <v>0</v>
      </c>
      <c r="O42" s="2">
        <v>4</v>
      </c>
    </row>
    <row r="43" spans="1:15" x14ac:dyDescent="0.25">
      <c r="A43" s="2" t="s">
        <v>18</v>
      </c>
      <c r="B43" s="2">
        <v>1</v>
      </c>
      <c r="C43" s="2">
        <v>10</v>
      </c>
      <c r="D43" s="2">
        <v>42</v>
      </c>
      <c r="E43" s="2">
        <v>5</v>
      </c>
      <c r="F43" s="2">
        <v>762</v>
      </c>
      <c r="G43" s="2">
        <v>5000</v>
      </c>
      <c r="H43" s="2">
        <v>12.5</v>
      </c>
      <c r="I43" s="2">
        <v>5</v>
      </c>
      <c r="J43" s="2">
        <v>78</v>
      </c>
      <c r="K43" s="2">
        <v>1.2820512820512799</v>
      </c>
      <c r="L43" s="2">
        <v>6.8910256410256396</v>
      </c>
      <c r="M43" s="2">
        <v>5.3445512820512802</v>
      </c>
      <c r="N43" s="2">
        <v>0</v>
      </c>
      <c r="O43" s="2">
        <v>5</v>
      </c>
    </row>
    <row r="44" spans="1:15" x14ac:dyDescent="0.25">
      <c r="A44" s="2" t="s">
        <v>18</v>
      </c>
      <c r="B44" s="2">
        <v>1</v>
      </c>
      <c r="C44" s="2">
        <v>11</v>
      </c>
      <c r="D44" s="2">
        <v>43</v>
      </c>
      <c r="E44" s="2">
        <v>5</v>
      </c>
      <c r="F44" s="2">
        <v>767</v>
      </c>
      <c r="G44" s="2">
        <v>5000</v>
      </c>
      <c r="H44" s="2">
        <v>12.5</v>
      </c>
      <c r="I44" s="2">
        <v>5</v>
      </c>
      <c r="J44" s="2">
        <v>78</v>
      </c>
      <c r="K44" s="2">
        <v>1.2820512820512799</v>
      </c>
      <c r="L44" s="2">
        <v>6.8910256410256396</v>
      </c>
      <c r="M44" s="2">
        <v>5.3445512820512802</v>
      </c>
      <c r="N44" s="2">
        <v>1.02303488372093</v>
      </c>
      <c r="O44" s="2">
        <v>3</v>
      </c>
    </row>
    <row r="45" spans="1:15" x14ac:dyDescent="0.25">
      <c r="A45" s="2" t="s">
        <v>18</v>
      </c>
      <c r="B45" s="2">
        <v>1</v>
      </c>
      <c r="C45" s="2">
        <v>12</v>
      </c>
      <c r="D45" s="2">
        <v>44</v>
      </c>
      <c r="E45" s="2">
        <v>5</v>
      </c>
      <c r="F45" s="2">
        <v>770</v>
      </c>
      <c r="G45" s="2">
        <v>5000</v>
      </c>
      <c r="H45" s="2">
        <v>12.5</v>
      </c>
      <c r="I45" s="2">
        <v>5</v>
      </c>
      <c r="J45" s="2">
        <v>78</v>
      </c>
      <c r="K45" s="2">
        <v>1.2820512820512799</v>
      </c>
      <c r="L45" s="2">
        <v>6.8910256410256396</v>
      </c>
      <c r="M45" s="2">
        <v>5.3445512820512802</v>
      </c>
      <c r="N45" s="2">
        <v>1.0668181818181799</v>
      </c>
      <c r="O45" s="2">
        <v>3</v>
      </c>
    </row>
    <row r="46" spans="1:15" x14ac:dyDescent="0.25">
      <c r="A46" s="2" t="s">
        <v>18</v>
      </c>
      <c r="B46" s="2">
        <v>1</v>
      </c>
      <c r="C46" s="2">
        <v>13</v>
      </c>
      <c r="D46" s="2">
        <v>45</v>
      </c>
      <c r="E46" s="2">
        <v>5</v>
      </c>
      <c r="F46" s="2">
        <v>773</v>
      </c>
      <c r="G46" s="2">
        <v>5000</v>
      </c>
      <c r="H46" s="2">
        <v>12.5</v>
      </c>
      <c r="I46" s="2">
        <v>5</v>
      </c>
      <c r="J46" s="2">
        <v>78</v>
      </c>
      <c r="K46" s="2">
        <v>1.2820512820512799</v>
      </c>
      <c r="L46" s="2">
        <v>6.8910256410256396</v>
      </c>
      <c r="M46" s="2">
        <v>5.3445512820512802</v>
      </c>
      <c r="N46" s="2">
        <v>1.1087222222222199</v>
      </c>
      <c r="O46" s="2">
        <v>3</v>
      </c>
    </row>
    <row r="47" spans="1:15" x14ac:dyDescent="0.25">
      <c r="A47" s="2" t="s">
        <v>18</v>
      </c>
      <c r="B47" s="2">
        <v>1</v>
      </c>
      <c r="C47" s="2">
        <v>14</v>
      </c>
      <c r="D47" s="2">
        <v>46</v>
      </c>
      <c r="E47" s="2">
        <v>5</v>
      </c>
      <c r="F47" s="2">
        <v>776</v>
      </c>
      <c r="G47" s="2">
        <v>5000</v>
      </c>
      <c r="H47" s="2">
        <v>12.5</v>
      </c>
      <c r="I47" s="2">
        <v>5</v>
      </c>
      <c r="J47" s="2">
        <v>78</v>
      </c>
      <c r="K47" s="2">
        <v>1.2820512820512799</v>
      </c>
      <c r="L47" s="2">
        <v>6.8910256410256396</v>
      </c>
      <c r="M47" s="2">
        <v>5.3445512820512802</v>
      </c>
      <c r="N47" s="2">
        <v>1.1488695652173899</v>
      </c>
      <c r="O47" s="2">
        <v>3</v>
      </c>
    </row>
    <row r="48" spans="1:15" x14ac:dyDescent="0.25">
      <c r="A48" s="2" t="s">
        <v>18</v>
      </c>
      <c r="B48" s="2">
        <v>1</v>
      </c>
      <c r="C48" s="2">
        <v>15</v>
      </c>
      <c r="D48" s="2">
        <v>47</v>
      </c>
      <c r="E48" s="2">
        <v>5</v>
      </c>
      <c r="F48" s="2">
        <v>779</v>
      </c>
      <c r="G48" s="2">
        <v>5000</v>
      </c>
      <c r="H48" s="2">
        <v>12.5</v>
      </c>
      <c r="I48" s="2">
        <v>5</v>
      </c>
      <c r="J48" s="2">
        <v>78</v>
      </c>
      <c r="K48" s="2">
        <v>1.2820512820512799</v>
      </c>
      <c r="L48" s="2">
        <v>6.8910256410256396</v>
      </c>
      <c r="M48" s="2">
        <v>5.3445512820512802</v>
      </c>
      <c r="N48" s="2">
        <v>1.1873723404255301</v>
      </c>
      <c r="O48" s="2">
        <v>3</v>
      </c>
    </row>
    <row r="49" spans="1:15" x14ac:dyDescent="0.25">
      <c r="A49" s="2" t="s">
        <v>18</v>
      </c>
      <c r="B49" s="2">
        <v>11</v>
      </c>
      <c r="C49" s="2">
        <v>1</v>
      </c>
      <c r="D49" s="2">
        <v>48</v>
      </c>
      <c r="E49" s="2">
        <v>83</v>
      </c>
      <c r="F49" s="2">
        <v>782</v>
      </c>
      <c r="G49" s="2">
        <v>5000</v>
      </c>
      <c r="H49" s="2">
        <v>12.5</v>
      </c>
      <c r="I49" s="2">
        <v>5</v>
      </c>
      <c r="J49" s="2">
        <v>78</v>
      </c>
      <c r="K49" s="2">
        <v>14.1025641025641</v>
      </c>
      <c r="L49" s="2">
        <v>13.301282051282</v>
      </c>
      <c r="M49" s="2">
        <v>94.040064102564102</v>
      </c>
      <c r="N49" s="2">
        <v>0</v>
      </c>
      <c r="O49" s="2">
        <v>94</v>
      </c>
    </row>
    <row r="50" spans="1:15" x14ac:dyDescent="0.25">
      <c r="A50" s="2" t="s">
        <v>18</v>
      </c>
      <c r="B50" s="2">
        <v>10</v>
      </c>
      <c r="C50" s="2">
        <v>3</v>
      </c>
      <c r="D50" s="2">
        <v>49</v>
      </c>
      <c r="E50" s="2">
        <v>5</v>
      </c>
      <c r="F50" s="2">
        <v>876</v>
      </c>
      <c r="G50" s="2">
        <v>5000</v>
      </c>
      <c r="H50" s="2">
        <v>12.5</v>
      </c>
      <c r="I50" s="2">
        <v>5</v>
      </c>
      <c r="J50" s="2">
        <v>78</v>
      </c>
      <c r="K50" s="2">
        <v>12.8205128205128</v>
      </c>
      <c r="L50" s="2">
        <v>12.6602564102564</v>
      </c>
      <c r="M50" s="2">
        <v>5.6330128205128203</v>
      </c>
      <c r="N50" s="2">
        <v>0.25320512820512803</v>
      </c>
      <c r="O50" s="2">
        <v>5</v>
      </c>
    </row>
    <row r="51" spans="1:15" x14ac:dyDescent="0.25">
      <c r="A51" s="2" t="s">
        <v>18</v>
      </c>
      <c r="B51" s="2">
        <v>10</v>
      </c>
      <c r="C51" s="2">
        <v>4</v>
      </c>
      <c r="D51" s="2">
        <v>50</v>
      </c>
      <c r="E51" s="2">
        <v>5</v>
      </c>
      <c r="F51" s="2">
        <v>881</v>
      </c>
      <c r="G51" s="2">
        <v>5000</v>
      </c>
      <c r="H51" s="2">
        <v>12.5</v>
      </c>
      <c r="I51" s="2">
        <v>5</v>
      </c>
      <c r="J51" s="2">
        <v>78</v>
      </c>
      <c r="K51" s="2">
        <v>12.8205128205128</v>
      </c>
      <c r="L51" s="2">
        <v>12.6602564102564</v>
      </c>
      <c r="M51" s="2">
        <v>5.6330128205128203</v>
      </c>
      <c r="N51" s="2">
        <v>0.37980769230769201</v>
      </c>
      <c r="O51" s="2">
        <v>5</v>
      </c>
    </row>
    <row r="52" spans="1:15" x14ac:dyDescent="0.25">
      <c r="A52" s="2" t="s">
        <v>18</v>
      </c>
      <c r="B52" s="2">
        <v>10</v>
      </c>
      <c r="C52" s="2">
        <v>5</v>
      </c>
      <c r="D52" s="2">
        <v>51</v>
      </c>
      <c r="E52" s="2">
        <v>5</v>
      </c>
      <c r="F52" s="2">
        <v>886</v>
      </c>
      <c r="G52" s="2">
        <v>5000</v>
      </c>
      <c r="H52" s="2">
        <v>12.5</v>
      </c>
      <c r="I52" s="2">
        <v>5</v>
      </c>
      <c r="J52" s="2">
        <v>78</v>
      </c>
      <c r="K52" s="2">
        <v>12.8205128205128</v>
      </c>
      <c r="L52" s="2">
        <v>12.6602564102564</v>
      </c>
      <c r="M52" s="2">
        <v>5.6330128205128203</v>
      </c>
      <c r="N52" s="2">
        <v>0</v>
      </c>
      <c r="O52" s="2">
        <v>5</v>
      </c>
    </row>
    <row r="53" spans="1:15" x14ac:dyDescent="0.25">
      <c r="A53" s="2" t="s">
        <v>18</v>
      </c>
      <c r="B53" s="2">
        <v>10</v>
      </c>
      <c r="C53" s="2">
        <v>6</v>
      </c>
      <c r="D53" s="2">
        <v>52</v>
      </c>
      <c r="E53" s="2">
        <v>5</v>
      </c>
      <c r="F53" s="2">
        <v>891</v>
      </c>
      <c r="G53" s="2">
        <v>5000</v>
      </c>
      <c r="H53" s="2">
        <v>12.5</v>
      </c>
      <c r="I53" s="2">
        <v>5</v>
      </c>
      <c r="J53" s="2">
        <v>78</v>
      </c>
      <c r="K53" s="2">
        <v>12.8205128205128</v>
      </c>
      <c r="L53" s="2">
        <v>12.6602564102564</v>
      </c>
      <c r="M53" s="2">
        <v>5.6330128205128203</v>
      </c>
      <c r="N53" s="2">
        <v>0</v>
      </c>
      <c r="O53" s="2">
        <v>5</v>
      </c>
    </row>
    <row r="54" spans="1:15" x14ac:dyDescent="0.25">
      <c r="A54" s="2" t="s">
        <v>18</v>
      </c>
      <c r="B54" s="2">
        <v>12</v>
      </c>
      <c r="C54" s="2">
        <v>1</v>
      </c>
      <c r="D54" s="2">
        <v>53</v>
      </c>
      <c r="E54" s="2">
        <v>34</v>
      </c>
      <c r="F54" s="2">
        <v>896</v>
      </c>
      <c r="G54" s="2">
        <v>5000</v>
      </c>
      <c r="H54" s="2">
        <v>12.5</v>
      </c>
      <c r="I54" s="2">
        <v>5</v>
      </c>
      <c r="J54" s="2">
        <v>78</v>
      </c>
      <c r="K54" s="2">
        <v>15.3846153846153</v>
      </c>
      <c r="L54" s="2">
        <v>13.942307692307599</v>
      </c>
      <c r="M54" s="2">
        <v>38.740384615384599</v>
      </c>
      <c r="N54" s="2">
        <v>0</v>
      </c>
      <c r="O54" s="2">
        <v>38</v>
      </c>
    </row>
    <row r="55" spans="1:15" x14ac:dyDescent="0.25">
      <c r="A55" s="2" t="s">
        <v>18</v>
      </c>
      <c r="B55" s="2">
        <v>13</v>
      </c>
      <c r="C55" s="2">
        <v>1</v>
      </c>
      <c r="D55" s="2">
        <v>54</v>
      </c>
      <c r="E55" s="2">
        <v>43</v>
      </c>
      <c r="F55" s="2">
        <v>934</v>
      </c>
      <c r="G55" s="2">
        <v>5000</v>
      </c>
      <c r="H55" s="2">
        <v>12.5</v>
      </c>
      <c r="I55" s="2">
        <v>5</v>
      </c>
      <c r="J55" s="2">
        <v>78</v>
      </c>
      <c r="K55" s="2">
        <v>16.6666666666666</v>
      </c>
      <c r="L55" s="2">
        <v>14.5833333333333</v>
      </c>
      <c r="M55" s="2">
        <v>49.2708333333333</v>
      </c>
      <c r="N55" s="2">
        <v>0</v>
      </c>
      <c r="O55" s="2">
        <v>49</v>
      </c>
    </row>
    <row r="56" spans="1:15" x14ac:dyDescent="0.25">
      <c r="A56" s="2" t="s">
        <v>18</v>
      </c>
      <c r="B56" s="2">
        <v>14</v>
      </c>
      <c r="C56" s="2">
        <v>1</v>
      </c>
      <c r="D56" s="2">
        <v>55</v>
      </c>
      <c r="E56" s="2">
        <v>127</v>
      </c>
      <c r="F56" s="2">
        <v>1050</v>
      </c>
      <c r="G56" s="2">
        <v>5000</v>
      </c>
      <c r="H56" s="2">
        <v>12.5</v>
      </c>
      <c r="I56" s="2">
        <v>5</v>
      </c>
      <c r="J56" s="2">
        <v>78</v>
      </c>
      <c r="K56" s="2">
        <v>17.948717948717899</v>
      </c>
      <c r="L56" s="2">
        <v>15.2243589743589</v>
      </c>
      <c r="M56" s="2">
        <v>146.334935897435</v>
      </c>
      <c r="N56" s="2">
        <v>0</v>
      </c>
      <c r="O56" s="2">
        <v>146</v>
      </c>
    </row>
    <row r="57" spans="1:15" x14ac:dyDescent="0.25">
      <c r="A57" s="2" t="s">
        <v>18</v>
      </c>
      <c r="B57" s="2">
        <v>15</v>
      </c>
      <c r="C57" s="2">
        <v>1</v>
      </c>
      <c r="D57" s="2">
        <v>56</v>
      </c>
      <c r="E57" s="2">
        <v>45</v>
      </c>
      <c r="F57" s="2">
        <v>1196</v>
      </c>
      <c r="G57" s="2">
        <v>5000</v>
      </c>
      <c r="H57" s="2">
        <v>12.5</v>
      </c>
      <c r="I57" s="2">
        <v>5</v>
      </c>
      <c r="J57" s="2">
        <v>78</v>
      </c>
      <c r="K57" s="2">
        <v>19.230769230769202</v>
      </c>
      <c r="L57" s="2">
        <v>15.865384615384601</v>
      </c>
      <c r="M57" s="2">
        <v>52.139423076923002</v>
      </c>
      <c r="N57" s="2">
        <v>0</v>
      </c>
      <c r="O57" s="2">
        <v>52</v>
      </c>
    </row>
    <row r="58" spans="1:15" x14ac:dyDescent="0.25">
      <c r="A58" s="2" t="s">
        <v>18</v>
      </c>
      <c r="B58" s="2">
        <v>15</v>
      </c>
      <c r="C58" s="2">
        <v>2</v>
      </c>
      <c r="D58" s="2">
        <v>57</v>
      </c>
      <c r="E58" s="2">
        <v>45</v>
      </c>
      <c r="F58" s="2">
        <v>1248</v>
      </c>
      <c r="G58" s="2">
        <v>5000</v>
      </c>
      <c r="H58" s="2">
        <v>12.5</v>
      </c>
      <c r="I58" s="2">
        <v>5</v>
      </c>
      <c r="J58" s="2">
        <v>78</v>
      </c>
      <c r="K58" s="2">
        <v>19.230769230769202</v>
      </c>
      <c r="L58" s="2">
        <v>15.865384615384601</v>
      </c>
      <c r="M58" s="2">
        <v>52.139423076923002</v>
      </c>
      <c r="N58" s="2">
        <v>1.4278846153846101</v>
      </c>
      <c r="O58" s="2">
        <v>51</v>
      </c>
    </row>
    <row r="59" spans="1:15" x14ac:dyDescent="0.25">
      <c r="A59" s="2" t="s">
        <v>18</v>
      </c>
      <c r="B59" s="2">
        <v>13</v>
      </c>
      <c r="C59" s="2">
        <v>2</v>
      </c>
      <c r="D59" s="2">
        <v>58</v>
      </c>
      <c r="E59" s="2">
        <v>43</v>
      </c>
      <c r="F59" s="2">
        <v>1299</v>
      </c>
      <c r="G59" s="2">
        <v>5000</v>
      </c>
      <c r="H59" s="2">
        <v>12.5</v>
      </c>
      <c r="I59" s="2">
        <v>5</v>
      </c>
      <c r="J59" s="2">
        <v>78</v>
      </c>
      <c r="K59" s="2">
        <v>16.6666666666666</v>
      </c>
      <c r="L59" s="2">
        <v>14.5833333333333</v>
      </c>
      <c r="M59" s="2">
        <v>49.2708333333333</v>
      </c>
      <c r="N59" s="2">
        <v>1.25416666666666</v>
      </c>
      <c r="O59" s="2">
        <v>48</v>
      </c>
    </row>
    <row r="60" spans="1:15" x14ac:dyDescent="0.25">
      <c r="A60" s="2" t="s">
        <v>18</v>
      </c>
      <c r="B60" s="2">
        <v>15</v>
      </c>
      <c r="C60" s="2">
        <v>3</v>
      </c>
      <c r="D60" s="2">
        <v>59</v>
      </c>
      <c r="E60" s="2">
        <v>45</v>
      </c>
      <c r="F60" s="2">
        <v>1347</v>
      </c>
      <c r="G60" s="2">
        <v>5000</v>
      </c>
      <c r="H60" s="2">
        <v>12.5</v>
      </c>
      <c r="I60" s="2">
        <v>5</v>
      </c>
      <c r="J60" s="2">
        <v>78</v>
      </c>
      <c r="K60" s="2">
        <v>19.230769230769202</v>
      </c>
      <c r="L60" s="2">
        <v>15.865384615384601</v>
      </c>
      <c r="M60" s="2">
        <v>52.139423076923002</v>
      </c>
      <c r="N60" s="2">
        <v>2.8557692307692299</v>
      </c>
      <c r="O60" s="2">
        <v>50</v>
      </c>
    </row>
    <row r="61" spans="1:15" x14ac:dyDescent="0.25">
      <c r="A61" s="2" t="s">
        <v>18</v>
      </c>
      <c r="B61" s="2">
        <v>12</v>
      </c>
      <c r="C61" s="2">
        <v>2</v>
      </c>
      <c r="D61" s="2">
        <v>60</v>
      </c>
      <c r="E61" s="2">
        <v>34</v>
      </c>
      <c r="F61" s="2">
        <v>1397</v>
      </c>
      <c r="G61" s="2">
        <v>5000</v>
      </c>
      <c r="H61" s="2">
        <v>12.5</v>
      </c>
      <c r="I61" s="2">
        <v>5</v>
      </c>
      <c r="J61" s="2">
        <v>78</v>
      </c>
      <c r="K61" s="2">
        <v>15.3846153846153</v>
      </c>
      <c r="L61" s="2">
        <v>13.942307692307599</v>
      </c>
      <c r="M61" s="2">
        <v>38.740384615384599</v>
      </c>
      <c r="N61" s="2">
        <v>0.94807692307692204</v>
      </c>
      <c r="O61" s="2">
        <v>38</v>
      </c>
    </row>
    <row r="62" spans="1:15" x14ac:dyDescent="0.25">
      <c r="A62" s="2" t="s">
        <v>18</v>
      </c>
      <c r="B62" s="2">
        <v>12</v>
      </c>
      <c r="C62" s="2">
        <v>3</v>
      </c>
      <c r="D62" s="2">
        <v>61</v>
      </c>
      <c r="E62" s="2">
        <v>34</v>
      </c>
      <c r="F62" s="2">
        <v>1435</v>
      </c>
      <c r="G62" s="2">
        <v>5000</v>
      </c>
      <c r="H62" s="2">
        <v>12.5</v>
      </c>
      <c r="I62" s="2">
        <v>5</v>
      </c>
      <c r="J62" s="2">
        <v>78</v>
      </c>
      <c r="K62" s="2">
        <v>15.3846153846153</v>
      </c>
      <c r="L62" s="2">
        <v>13.942307692307599</v>
      </c>
      <c r="M62" s="2">
        <v>38.740384615384599</v>
      </c>
      <c r="N62" s="2">
        <v>1.8961538461538401</v>
      </c>
      <c r="O62" s="2">
        <v>37</v>
      </c>
    </row>
    <row r="63" spans="1:15" x14ac:dyDescent="0.25">
      <c r="A63" s="2" t="s">
        <v>18</v>
      </c>
      <c r="B63" s="2">
        <v>11</v>
      </c>
      <c r="C63" s="2">
        <v>2</v>
      </c>
      <c r="D63" s="2">
        <v>62</v>
      </c>
      <c r="E63" s="2">
        <v>83</v>
      </c>
      <c r="F63" s="2">
        <v>1472</v>
      </c>
      <c r="G63" s="2">
        <v>5000</v>
      </c>
      <c r="H63" s="2">
        <v>12.5</v>
      </c>
      <c r="I63" s="2">
        <v>5</v>
      </c>
      <c r="J63" s="2">
        <v>78</v>
      </c>
      <c r="K63" s="2">
        <v>14.1025641025641</v>
      </c>
      <c r="L63" s="2">
        <v>13.301282051282</v>
      </c>
      <c r="M63" s="2">
        <v>94.040064102564102</v>
      </c>
      <c r="N63" s="2">
        <v>2.20801282051282</v>
      </c>
      <c r="O63" s="2">
        <v>92</v>
      </c>
    </row>
    <row r="64" spans="1:15" x14ac:dyDescent="0.25">
      <c r="A64" s="2" t="s">
        <v>18</v>
      </c>
      <c r="B64" s="2">
        <v>15</v>
      </c>
      <c r="C64" s="2">
        <v>4</v>
      </c>
      <c r="D64" s="2">
        <v>63</v>
      </c>
      <c r="E64" s="2">
        <v>45</v>
      </c>
      <c r="F64" s="2">
        <v>1564</v>
      </c>
      <c r="G64" s="2">
        <v>5000</v>
      </c>
      <c r="H64" s="2">
        <v>12.5</v>
      </c>
      <c r="I64" s="2">
        <v>5</v>
      </c>
      <c r="J64" s="2">
        <v>78</v>
      </c>
      <c r="K64" s="2">
        <v>19.230769230769202</v>
      </c>
      <c r="L64" s="2">
        <v>15.865384615384601</v>
      </c>
      <c r="M64" s="2">
        <v>52.139423076923002</v>
      </c>
      <c r="N64" s="2">
        <v>4.2836538461538396</v>
      </c>
      <c r="O64" s="2">
        <v>48</v>
      </c>
    </row>
    <row r="65" spans="1:15" x14ac:dyDescent="0.25">
      <c r="A65" s="2" t="s">
        <v>18</v>
      </c>
      <c r="B65" s="2">
        <v>15</v>
      </c>
      <c r="C65" s="2">
        <v>5</v>
      </c>
      <c r="D65" s="2">
        <v>64</v>
      </c>
      <c r="E65" s="2">
        <v>45</v>
      </c>
      <c r="F65" s="2">
        <v>1612</v>
      </c>
      <c r="G65" s="2">
        <v>5000</v>
      </c>
      <c r="H65" s="2">
        <v>12.5</v>
      </c>
      <c r="I65" s="2">
        <v>5</v>
      </c>
      <c r="J65" s="2">
        <v>78</v>
      </c>
      <c r="K65" s="2">
        <v>19.230769230769202</v>
      </c>
      <c r="L65" s="2">
        <v>15.865384615384601</v>
      </c>
      <c r="M65" s="2">
        <v>52.139423076923002</v>
      </c>
      <c r="N65" s="2">
        <v>0</v>
      </c>
      <c r="O65" s="2">
        <v>45</v>
      </c>
    </row>
    <row r="66" spans="1:15" x14ac:dyDescent="0.25">
      <c r="A66" s="2" t="s">
        <v>18</v>
      </c>
      <c r="B66" s="2">
        <v>12</v>
      </c>
      <c r="C66" s="2">
        <v>4</v>
      </c>
      <c r="D66" s="2">
        <v>65</v>
      </c>
      <c r="E66" s="2">
        <v>34</v>
      </c>
      <c r="F66" s="2">
        <v>1657</v>
      </c>
      <c r="G66" s="2">
        <v>5000</v>
      </c>
      <c r="H66" s="2">
        <v>12.5</v>
      </c>
      <c r="I66" s="2">
        <v>5</v>
      </c>
      <c r="J66" s="2">
        <v>78</v>
      </c>
      <c r="K66" s="2">
        <v>15.3846153846153</v>
      </c>
      <c r="L66" s="2">
        <v>13.942307692307599</v>
      </c>
      <c r="M66" s="2">
        <v>38.740384615384599</v>
      </c>
      <c r="N66" s="2">
        <v>2.84423076923076</v>
      </c>
      <c r="O66" s="2">
        <v>36</v>
      </c>
    </row>
    <row r="67" spans="1:15" x14ac:dyDescent="0.25">
      <c r="A67" s="2" t="s">
        <v>18</v>
      </c>
      <c r="B67" s="2">
        <v>15</v>
      </c>
      <c r="C67" s="2">
        <v>6</v>
      </c>
      <c r="D67" s="2">
        <v>66</v>
      </c>
      <c r="E67" s="2">
        <v>45</v>
      </c>
      <c r="F67" s="2">
        <v>1693</v>
      </c>
      <c r="G67" s="2">
        <v>5000</v>
      </c>
      <c r="H67" s="2">
        <v>12.5</v>
      </c>
      <c r="I67" s="2">
        <v>5</v>
      </c>
      <c r="J67" s="2">
        <v>78</v>
      </c>
      <c r="K67" s="2">
        <v>19.230769230769202</v>
      </c>
      <c r="L67" s="2">
        <v>15.865384615384601</v>
      </c>
      <c r="M67" s="2">
        <v>52.139423076923002</v>
      </c>
      <c r="N67" s="2">
        <v>0</v>
      </c>
      <c r="O67" s="2">
        <v>45</v>
      </c>
    </row>
    <row r="68" spans="1:15" x14ac:dyDescent="0.25">
      <c r="A68" s="2" t="s">
        <v>18</v>
      </c>
      <c r="B68" s="2">
        <v>16</v>
      </c>
      <c r="C68" s="2">
        <v>1</v>
      </c>
      <c r="D68" s="2">
        <v>67</v>
      </c>
      <c r="E68" s="2">
        <v>30</v>
      </c>
      <c r="F68" s="2">
        <v>1738</v>
      </c>
      <c r="G68" s="2">
        <v>5000</v>
      </c>
      <c r="H68" s="2">
        <v>12.5</v>
      </c>
      <c r="I68" s="2">
        <v>5</v>
      </c>
      <c r="J68" s="2">
        <v>78</v>
      </c>
      <c r="K68" s="2">
        <v>20.5128205128205</v>
      </c>
      <c r="L68" s="2">
        <v>16.506410256410199</v>
      </c>
      <c r="M68" s="2">
        <v>34.951923076923002</v>
      </c>
      <c r="N68" s="2">
        <v>0</v>
      </c>
      <c r="O68" s="2">
        <v>34</v>
      </c>
    </row>
    <row r="69" spans="1:15" x14ac:dyDescent="0.25">
      <c r="A69" s="2" t="s">
        <v>18</v>
      </c>
      <c r="B69" s="2">
        <v>16</v>
      </c>
      <c r="C69" s="2">
        <v>2</v>
      </c>
      <c r="D69" s="2">
        <v>68</v>
      </c>
      <c r="E69" s="2">
        <v>30</v>
      </c>
      <c r="F69" s="2">
        <v>1772</v>
      </c>
      <c r="G69" s="2">
        <v>5000</v>
      </c>
      <c r="H69" s="2">
        <v>12.5</v>
      </c>
      <c r="I69" s="2">
        <v>5</v>
      </c>
      <c r="J69" s="2">
        <v>78</v>
      </c>
      <c r="K69" s="2">
        <v>20.5128205128205</v>
      </c>
      <c r="L69" s="2">
        <v>16.506410256410199</v>
      </c>
      <c r="M69" s="2">
        <v>34.951923076923002</v>
      </c>
      <c r="N69" s="2">
        <v>0.99038461538461597</v>
      </c>
      <c r="O69" s="2">
        <v>34</v>
      </c>
    </row>
    <row r="70" spans="1:15" x14ac:dyDescent="0.25">
      <c r="A70" s="2" t="s">
        <v>18</v>
      </c>
      <c r="B70" s="2">
        <v>16</v>
      </c>
      <c r="C70" s="2">
        <v>3</v>
      </c>
      <c r="D70" s="2">
        <v>69</v>
      </c>
      <c r="E70" s="2">
        <v>30</v>
      </c>
      <c r="F70" s="2">
        <v>1806</v>
      </c>
      <c r="G70" s="2">
        <v>5000</v>
      </c>
      <c r="H70" s="2">
        <v>12.5</v>
      </c>
      <c r="I70" s="2">
        <v>5</v>
      </c>
      <c r="J70" s="2">
        <v>78</v>
      </c>
      <c r="K70" s="2">
        <v>20.5128205128205</v>
      </c>
      <c r="L70" s="2">
        <v>16.506410256410199</v>
      </c>
      <c r="M70" s="2">
        <v>34.951923076923002</v>
      </c>
      <c r="N70" s="2">
        <v>1.9807692307692299</v>
      </c>
      <c r="O70" s="2">
        <v>33</v>
      </c>
    </row>
    <row r="71" spans="1:15" x14ac:dyDescent="0.25">
      <c r="A71" s="2" t="s">
        <v>18</v>
      </c>
      <c r="B71" s="2">
        <v>13</v>
      </c>
      <c r="C71" s="2">
        <v>3</v>
      </c>
      <c r="D71" s="2">
        <v>70</v>
      </c>
      <c r="E71" s="2">
        <v>43</v>
      </c>
      <c r="F71" s="2">
        <v>1906</v>
      </c>
      <c r="G71" s="2">
        <v>5000</v>
      </c>
      <c r="H71" s="2">
        <v>12.5</v>
      </c>
      <c r="I71" s="2">
        <v>5</v>
      </c>
      <c r="J71" s="2">
        <v>78</v>
      </c>
      <c r="K71" s="2">
        <v>16.6666666666666</v>
      </c>
      <c r="L71" s="2">
        <v>14.5833333333333</v>
      </c>
      <c r="M71" s="2">
        <v>49.2708333333333</v>
      </c>
      <c r="N71" s="2">
        <v>2.5083333333333302</v>
      </c>
      <c r="O71" s="2">
        <v>47</v>
      </c>
    </row>
    <row r="72" spans="1:15" x14ac:dyDescent="0.25">
      <c r="A72" s="2" t="s">
        <v>18</v>
      </c>
      <c r="B72" s="2">
        <v>12</v>
      </c>
      <c r="C72" s="2">
        <v>5</v>
      </c>
      <c r="D72" s="2">
        <v>71</v>
      </c>
      <c r="E72" s="2">
        <v>34</v>
      </c>
      <c r="F72" s="2">
        <v>1953</v>
      </c>
      <c r="G72" s="2">
        <v>5000</v>
      </c>
      <c r="H72" s="2">
        <v>12.5</v>
      </c>
      <c r="I72" s="2">
        <v>5</v>
      </c>
      <c r="J72" s="2">
        <v>78</v>
      </c>
      <c r="K72" s="2">
        <v>15.3846153846153</v>
      </c>
      <c r="L72" s="2">
        <v>13.942307692307599</v>
      </c>
      <c r="M72" s="2">
        <v>38.740384615384599</v>
      </c>
      <c r="N72" s="2">
        <v>0</v>
      </c>
      <c r="O72" s="2">
        <v>34</v>
      </c>
    </row>
    <row r="73" spans="1:15" x14ac:dyDescent="0.25">
      <c r="A73" s="2" t="s">
        <v>18</v>
      </c>
      <c r="B73" s="2">
        <v>14</v>
      </c>
      <c r="C73" s="2">
        <v>2</v>
      </c>
      <c r="D73" s="2">
        <v>72</v>
      </c>
      <c r="E73" s="2">
        <v>127</v>
      </c>
      <c r="F73" s="2">
        <v>1987</v>
      </c>
      <c r="G73" s="2">
        <v>5000</v>
      </c>
      <c r="H73" s="2">
        <v>12.5</v>
      </c>
      <c r="I73" s="2">
        <v>5</v>
      </c>
      <c r="J73" s="2">
        <v>78</v>
      </c>
      <c r="K73" s="2">
        <v>17.948717948717899</v>
      </c>
      <c r="L73" s="2">
        <v>15.2243589743589</v>
      </c>
      <c r="M73" s="2">
        <v>146.334935897435</v>
      </c>
      <c r="N73" s="2">
        <v>3.8669871794871802</v>
      </c>
      <c r="O73" s="2">
        <v>143</v>
      </c>
    </row>
    <row r="74" spans="1:15" x14ac:dyDescent="0.25">
      <c r="A74" s="2" t="s">
        <v>18</v>
      </c>
      <c r="B74" s="2">
        <v>11</v>
      </c>
      <c r="C74" s="2">
        <v>3</v>
      </c>
      <c r="D74" s="2">
        <v>73</v>
      </c>
      <c r="E74" s="2">
        <v>83</v>
      </c>
      <c r="F74" s="2">
        <v>2130</v>
      </c>
      <c r="G74" s="2">
        <v>5000</v>
      </c>
      <c r="H74" s="2">
        <v>12.5</v>
      </c>
      <c r="I74" s="2">
        <v>5</v>
      </c>
      <c r="J74" s="2">
        <v>78</v>
      </c>
      <c r="K74" s="2">
        <v>14.1025641025641</v>
      </c>
      <c r="L74" s="2">
        <v>13.301282051282</v>
      </c>
      <c r="M74" s="2">
        <v>94.040064102564102</v>
      </c>
      <c r="N74" s="2">
        <v>4.41602564102564</v>
      </c>
      <c r="O74" s="2">
        <v>90</v>
      </c>
    </row>
    <row r="75" spans="1:15" x14ac:dyDescent="0.25">
      <c r="A75" s="2" t="s">
        <v>18</v>
      </c>
      <c r="B75" s="2">
        <v>13</v>
      </c>
      <c r="C75" s="2">
        <v>4</v>
      </c>
      <c r="D75" s="2">
        <v>74</v>
      </c>
      <c r="E75" s="2">
        <v>43</v>
      </c>
      <c r="F75" s="2">
        <v>2220</v>
      </c>
      <c r="G75" s="2">
        <v>5000</v>
      </c>
      <c r="H75" s="2">
        <v>12.5</v>
      </c>
      <c r="I75" s="2">
        <v>5</v>
      </c>
      <c r="J75" s="2">
        <v>78</v>
      </c>
      <c r="K75" s="2">
        <v>16.6666666666666</v>
      </c>
      <c r="L75" s="2">
        <v>14.5833333333333</v>
      </c>
      <c r="M75" s="2">
        <v>49.2708333333333</v>
      </c>
      <c r="N75" s="2">
        <v>3.7625000000000002</v>
      </c>
      <c r="O75" s="2">
        <v>46</v>
      </c>
    </row>
    <row r="76" spans="1:15" x14ac:dyDescent="0.25">
      <c r="A76" s="2" t="s">
        <v>18</v>
      </c>
      <c r="B76" s="2">
        <v>11</v>
      </c>
      <c r="C76" s="2">
        <v>4</v>
      </c>
      <c r="D76" s="2">
        <v>75</v>
      </c>
      <c r="E76" s="2">
        <v>83</v>
      </c>
      <c r="F76" s="2">
        <v>2266</v>
      </c>
      <c r="G76" s="2">
        <v>5000</v>
      </c>
      <c r="H76" s="2">
        <v>12.5</v>
      </c>
      <c r="I76" s="2">
        <v>5</v>
      </c>
      <c r="J76" s="2">
        <v>78</v>
      </c>
      <c r="K76" s="2">
        <v>14.1025641025641</v>
      </c>
      <c r="L76" s="2">
        <v>13.301282051282</v>
      </c>
      <c r="M76" s="2">
        <v>94.040064102564102</v>
      </c>
      <c r="N76" s="2">
        <v>6.6240384615384604</v>
      </c>
      <c r="O76" s="2">
        <v>88</v>
      </c>
    </row>
    <row r="77" spans="1:15" x14ac:dyDescent="0.25">
      <c r="A77" s="2" t="s">
        <v>18</v>
      </c>
      <c r="B77" s="2">
        <v>11</v>
      </c>
      <c r="C77" s="2">
        <v>5</v>
      </c>
      <c r="D77" s="2">
        <v>76</v>
      </c>
      <c r="E77" s="2">
        <v>83</v>
      </c>
      <c r="F77" s="2">
        <v>2354</v>
      </c>
      <c r="G77" s="2">
        <v>5000</v>
      </c>
      <c r="H77" s="2">
        <v>12.5</v>
      </c>
      <c r="I77" s="2">
        <v>5</v>
      </c>
      <c r="J77" s="2">
        <v>78</v>
      </c>
      <c r="K77" s="2">
        <v>14.1025641025641</v>
      </c>
      <c r="L77" s="2">
        <v>13.301282051282</v>
      </c>
      <c r="M77" s="2">
        <v>94.040064102564102</v>
      </c>
      <c r="N77" s="2">
        <v>0</v>
      </c>
      <c r="O77" s="2">
        <v>83</v>
      </c>
    </row>
    <row r="78" spans="1:15" x14ac:dyDescent="0.25">
      <c r="A78" s="2" t="s">
        <v>18</v>
      </c>
      <c r="B78" s="2">
        <v>15</v>
      </c>
      <c r="C78" s="2">
        <v>7</v>
      </c>
      <c r="D78" s="2">
        <v>77</v>
      </c>
      <c r="E78" s="2">
        <v>45</v>
      </c>
      <c r="F78" s="2">
        <v>2437</v>
      </c>
      <c r="G78" s="2">
        <v>5000</v>
      </c>
      <c r="H78" s="2">
        <v>12.5</v>
      </c>
      <c r="I78" s="2">
        <v>5</v>
      </c>
      <c r="J78" s="2">
        <v>78</v>
      </c>
      <c r="K78" s="2">
        <v>19.230769230769202</v>
      </c>
      <c r="L78" s="2">
        <v>15.865384615384601</v>
      </c>
      <c r="M78" s="2">
        <v>52.139423076923002</v>
      </c>
      <c r="N78" s="2">
        <v>0</v>
      </c>
      <c r="O78" s="2">
        <v>45</v>
      </c>
    </row>
    <row r="79" spans="1:15" x14ac:dyDescent="0.25">
      <c r="A79" s="2" t="s">
        <v>18</v>
      </c>
      <c r="B79" s="2">
        <v>11</v>
      </c>
      <c r="C79" s="2">
        <v>6</v>
      </c>
      <c r="D79" s="2">
        <v>78</v>
      </c>
      <c r="E79" s="2">
        <v>83</v>
      </c>
      <c r="F79" s="2">
        <v>2482</v>
      </c>
      <c r="G79" s="2">
        <v>5000</v>
      </c>
      <c r="H79" s="2">
        <v>12.5</v>
      </c>
      <c r="I79" s="2">
        <v>5</v>
      </c>
      <c r="J79" s="2">
        <v>78</v>
      </c>
      <c r="K79" s="2">
        <v>14.1025641025641</v>
      </c>
      <c r="L79" s="2">
        <v>13.301282051282</v>
      </c>
      <c r="M79" s="2">
        <v>94.040064102564102</v>
      </c>
      <c r="N79" s="2">
        <v>0</v>
      </c>
      <c r="O79" s="2">
        <v>83</v>
      </c>
    </row>
    <row r="80" spans="1:15" x14ac:dyDescent="0.25">
      <c r="A80" s="2" t="s">
        <v>18</v>
      </c>
      <c r="B80" s="2">
        <v>13</v>
      </c>
      <c r="C80" s="2">
        <v>5</v>
      </c>
      <c r="D80" s="2">
        <v>79</v>
      </c>
      <c r="E80" s="2">
        <v>43</v>
      </c>
      <c r="F80" s="2">
        <v>2565</v>
      </c>
      <c r="G80" s="2">
        <v>5000</v>
      </c>
      <c r="H80" s="2">
        <v>12.5</v>
      </c>
      <c r="I80" s="2">
        <v>5</v>
      </c>
      <c r="J80" s="2">
        <v>78</v>
      </c>
      <c r="K80" s="2">
        <v>16.6666666666666</v>
      </c>
      <c r="L80" s="2">
        <v>14.5833333333333</v>
      </c>
      <c r="M80" s="2">
        <v>49.2708333333333</v>
      </c>
      <c r="N80" s="2">
        <v>0</v>
      </c>
      <c r="O80" s="2">
        <v>43</v>
      </c>
    </row>
    <row r="81" spans="1:15" x14ac:dyDescent="0.25">
      <c r="A81" s="2" t="s">
        <v>18</v>
      </c>
      <c r="B81" s="2">
        <v>10</v>
      </c>
      <c r="C81" s="2">
        <v>7</v>
      </c>
      <c r="D81" s="2">
        <v>80</v>
      </c>
      <c r="E81" s="2">
        <v>5</v>
      </c>
      <c r="F81" s="2">
        <v>2608</v>
      </c>
      <c r="G81" s="2">
        <v>5000</v>
      </c>
      <c r="H81" s="2">
        <v>12.5</v>
      </c>
      <c r="I81" s="2">
        <v>5</v>
      </c>
      <c r="J81" s="2">
        <v>78</v>
      </c>
      <c r="K81" s="2">
        <v>12.8205128205128</v>
      </c>
      <c r="L81" s="2">
        <v>12.6602564102564</v>
      </c>
      <c r="M81" s="2">
        <v>5.6330128205128203</v>
      </c>
      <c r="N81" s="2">
        <v>0</v>
      </c>
      <c r="O81" s="2">
        <v>5</v>
      </c>
    </row>
    <row r="82" spans="1:15" x14ac:dyDescent="0.25">
      <c r="A82" s="2" t="s">
        <v>18</v>
      </c>
      <c r="B82" s="2">
        <v>15</v>
      </c>
      <c r="C82" s="2">
        <v>8</v>
      </c>
      <c r="D82" s="2">
        <v>81</v>
      </c>
      <c r="E82" s="2">
        <v>45</v>
      </c>
      <c r="F82" s="2">
        <v>2613</v>
      </c>
      <c r="G82" s="2">
        <v>5000</v>
      </c>
      <c r="H82" s="2">
        <v>12.5</v>
      </c>
      <c r="I82" s="2">
        <v>5</v>
      </c>
      <c r="J82" s="2">
        <v>78</v>
      </c>
      <c r="K82" s="2">
        <v>19.230769230769202</v>
      </c>
      <c r="L82" s="2">
        <v>15.865384615384601</v>
      </c>
      <c r="M82" s="2">
        <v>52.139423076923002</v>
      </c>
      <c r="N82" s="2">
        <v>0</v>
      </c>
      <c r="O82" s="2">
        <v>45</v>
      </c>
    </row>
  </sheetData>
  <autoFilter ref="A1:O82" xr:uid="{7D3D5F0B-BCD9-40E6-B107-DE8B584F190B}">
    <sortState xmlns:xlrd2="http://schemas.microsoft.com/office/spreadsheetml/2017/richdata2" ref="A2:O82">
      <sortCondition ref="D1:D82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298D9-F3E9-434B-AA69-F6C74A0E91B7}">
  <dimension ref="A1:O199"/>
  <sheetViews>
    <sheetView workbookViewId="0">
      <pane ySplit="1" topLeftCell="A77" activePane="bottomLeft" state="frozen"/>
      <selection pane="bottomLeft" sqref="A1:O1"/>
    </sheetView>
  </sheetViews>
  <sheetFormatPr baseColWidth="10" defaultRowHeight="15" x14ac:dyDescent="0.25"/>
  <cols>
    <col min="1" max="1" width="16.28515625" bestFit="1" customWidth="1"/>
    <col min="2" max="2" width="10.85546875" bestFit="1" customWidth="1"/>
    <col min="3" max="3" width="15.140625" bestFit="1" customWidth="1"/>
    <col min="4" max="4" width="15.5703125" bestFit="1" customWidth="1"/>
    <col min="5" max="5" width="17" bestFit="1" customWidth="1"/>
    <col min="6" max="6" width="14.28515625" bestFit="1" customWidth="1"/>
    <col min="7" max="7" width="12" bestFit="1" customWidth="1"/>
    <col min="8" max="8" width="19.42578125" bestFit="1" customWidth="1"/>
    <col min="9" max="9" width="16.140625" bestFit="1" customWidth="1"/>
    <col min="10" max="10" width="17.5703125" bestFit="1" customWidth="1"/>
    <col min="11" max="11" width="15.140625" bestFit="1" customWidth="1"/>
    <col min="12" max="12" width="12" bestFit="1" customWidth="1"/>
    <col min="13" max="13" width="16.42578125" bestFit="1" customWidth="1"/>
    <col min="14" max="14" width="22" bestFit="1" customWidth="1"/>
    <col min="15" max="15" width="15.42578125" bestFit="1" customWidth="1"/>
  </cols>
  <sheetData>
    <row r="1" spans="1:15" x14ac:dyDescent="0.25">
      <c r="A1" s="2" t="s">
        <v>20</v>
      </c>
      <c r="B1" t="s">
        <v>0</v>
      </c>
      <c r="C1" t="s">
        <v>1</v>
      </c>
      <c r="D1" t="s">
        <v>2</v>
      </c>
      <c r="E1" t="s">
        <v>3</v>
      </c>
      <c r="F1" s="2" t="s">
        <v>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18</v>
      </c>
      <c r="B2">
        <v>1</v>
      </c>
      <c r="C2">
        <v>1</v>
      </c>
      <c r="D2">
        <v>1</v>
      </c>
      <c r="E2">
        <v>43</v>
      </c>
      <c r="F2">
        <v>64</v>
      </c>
      <c r="G2">
        <v>5000</v>
      </c>
      <c r="H2">
        <v>12.5</v>
      </c>
      <c r="I2">
        <v>5</v>
      </c>
      <c r="J2">
        <v>78</v>
      </c>
      <c r="K2">
        <v>1.2820512820512799</v>
      </c>
      <c r="L2">
        <v>6.8910256410256396</v>
      </c>
      <c r="M2">
        <v>45.963141025641001</v>
      </c>
      <c r="N2">
        <v>0</v>
      </c>
      <c r="O2">
        <v>45</v>
      </c>
    </row>
    <row r="3" spans="1:15" x14ac:dyDescent="0.25">
      <c r="A3" t="s">
        <v>18</v>
      </c>
      <c r="B3">
        <v>1</v>
      </c>
      <c r="C3">
        <v>2</v>
      </c>
      <c r="D3">
        <v>71</v>
      </c>
      <c r="E3">
        <v>43</v>
      </c>
      <c r="F3">
        <v>1980</v>
      </c>
      <c r="G3">
        <v>5000</v>
      </c>
      <c r="H3">
        <v>12.5</v>
      </c>
      <c r="I3">
        <v>5</v>
      </c>
      <c r="J3">
        <v>78</v>
      </c>
      <c r="K3">
        <v>1.2820512820512799</v>
      </c>
      <c r="L3">
        <v>6.8910256410256396</v>
      </c>
      <c r="M3">
        <v>45.963141025641001</v>
      </c>
      <c r="N3">
        <v>0.59262820512820502</v>
      </c>
      <c r="O3">
        <v>45</v>
      </c>
    </row>
    <row r="4" spans="1:15" x14ac:dyDescent="0.25">
      <c r="A4" t="s">
        <v>18</v>
      </c>
      <c r="B4">
        <v>1</v>
      </c>
      <c r="C4">
        <v>3</v>
      </c>
      <c r="D4">
        <v>77</v>
      </c>
      <c r="E4">
        <v>43</v>
      </c>
      <c r="F4">
        <v>2316</v>
      </c>
      <c r="G4">
        <v>5000</v>
      </c>
      <c r="H4">
        <v>12.5</v>
      </c>
      <c r="I4">
        <v>5</v>
      </c>
      <c r="J4">
        <v>78</v>
      </c>
      <c r="K4">
        <v>1.2820512820512799</v>
      </c>
      <c r="L4">
        <v>6.8910256410256396</v>
      </c>
      <c r="M4">
        <v>45.963141025641001</v>
      </c>
      <c r="N4">
        <v>1.18525641025641</v>
      </c>
      <c r="O4">
        <v>44</v>
      </c>
    </row>
    <row r="5" spans="1:15" x14ac:dyDescent="0.25">
      <c r="A5" t="s">
        <v>18</v>
      </c>
      <c r="B5">
        <v>1</v>
      </c>
      <c r="C5">
        <v>4</v>
      </c>
      <c r="D5">
        <v>78</v>
      </c>
      <c r="E5">
        <v>43</v>
      </c>
      <c r="F5">
        <v>2360</v>
      </c>
      <c r="G5">
        <v>5000</v>
      </c>
      <c r="H5">
        <v>12.5</v>
      </c>
      <c r="I5">
        <v>5</v>
      </c>
      <c r="J5">
        <v>78</v>
      </c>
      <c r="K5">
        <v>1.2820512820512799</v>
      </c>
      <c r="L5">
        <v>6.8910256410256396</v>
      </c>
      <c r="M5">
        <v>45.963141025641001</v>
      </c>
      <c r="N5">
        <v>1.77788461538461</v>
      </c>
      <c r="O5">
        <v>44</v>
      </c>
    </row>
    <row r="6" spans="1:15" x14ac:dyDescent="0.25">
      <c r="A6" t="s">
        <v>18</v>
      </c>
      <c r="B6">
        <v>1</v>
      </c>
      <c r="C6">
        <v>5</v>
      </c>
      <c r="D6">
        <v>83</v>
      </c>
      <c r="E6">
        <v>43</v>
      </c>
      <c r="F6">
        <v>2636</v>
      </c>
      <c r="G6">
        <v>5000</v>
      </c>
      <c r="H6">
        <v>12.5</v>
      </c>
      <c r="I6">
        <v>5</v>
      </c>
      <c r="J6">
        <v>78</v>
      </c>
      <c r="K6">
        <v>1.2820512820512799</v>
      </c>
      <c r="L6">
        <v>6.8910256410256396</v>
      </c>
      <c r="M6">
        <v>45.963141025641001</v>
      </c>
      <c r="N6">
        <v>0</v>
      </c>
      <c r="O6">
        <v>43</v>
      </c>
    </row>
    <row r="7" spans="1:15" x14ac:dyDescent="0.25">
      <c r="A7" t="s">
        <v>18</v>
      </c>
      <c r="B7">
        <v>1</v>
      </c>
      <c r="C7">
        <v>6</v>
      </c>
      <c r="D7">
        <v>86</v>
      </c>
      <c r="E7">
        <v>43</v>
      </c>
      <c r="F7">
        <v>2725</v>
      </c>
      <c r="G7">
        <v>5000</v>
      </c>
      <c r="H7">
        <v>12.5</v>
      </c>
      <c r="I7">
        <v>5</v>
      </c>
      <c r="J7">
        <v>78</v>
      </c>
      <c r="K7">
        <v>1.2820512820512799</v>
      </c>
      <c r="L7">
        <v>6.8910256410256396</v>
      </c>
      <c r="M7">
        <v>45.963141025641001</v>
      </c>
      <c r="N7">
        <v>0</v>
      </c>
      <c r="O7">
        <v>43</v>
      </c>
    </row>
    <row r="8" spans="1:15" x14ac:dyDescent="0.25">
      <c r="A8" t="s">
        <v>18</v>
      </c>
      <c r="B8">
        <v>1</v>
      </c>
      <c r="C8">
        <v>7</v>
      </c>
      <c r="D8">
        <v>87</v>
      </c>
      <c r="E8">
        <v>43</v>
      </c>
      <c r="F8">
        <v>2768</v>
      </c>
      <c r="G8">
        <v>5000</v>
      </c>
      <c r="H8">
        <v>12.5</v>
      </c>
      <c r="I8">
        <v>5</v>
      </c>
      <c r="J8">
        <v>78</v>
      </c>
      <c r="K8">
        <v>1.2820512820512799</v>
      </c>
      <c r="L8">
        <v>6.8910256410256396</v>
      </c>
      <c r="M8">
        <v>45.963141025641001</v>
      </c>
      <c r="N8">
        <v>0</v>
      </c>
      <c r="O8">
        <v>43</v>
      </c>
    </row>
    <row r="9" spans="1:15" x14ac:dyDescent="0.25">
      <c r="A9" t="s">
        <v>18</v>
      </c>
      <c r="B9">
        <v>1</v>
      </c>
      <c r="C9">
        <v>8</v>
      </c>
      <c r="D9">
        <v>105</v>
      </c>
      <c r="E9">
        <v>43</v>
      </c>
      <c r="F9">
        <v>3696</v>
      </c>
      <c r="G9">
        <v>5000</v>
      </c>
      <c r="H9">
        <v>12.5</v>
      </c>
      <c r="I9">
        <v>5</v>
      </c>
      <c r="J9">
        <v>78</v>
      </c>
      <c r="K9">
        <v>1.2820512820512799</v>
      </c>
      <c r="L9">
        <v>6.8910256410256396</v>
      </c>
      <c r="M9">
        <v>45.963141025641001</v>
      </c>
      <c r="N9">
        <v>0</v>
      </c>
      <c r="O9">
        <v>43</v>
      </c>
    </row>
    <row r="10" spans="1:15" x14ac:dyDescent="0.25">
      <c r="A10" t="s">
        <v>18</v>
      </c>
      <c r="B10">
        <v>1</v>
      </c>
      <c r="C10">
        <v>9</v>
      </c>
      <c r="D10">
        <v>117</v>
      </c>
      <c r="E10">
        <v>43</v>
      </c>
      <c r="F10">
        <v>3921</v>
      </c>
      <c r="G10">
        <v>5000</v>
      </c>
      <c r="H10">
        <v>12.5</v>
      </c>
      <c r="I10">
        <v>5</v>
      </c>
      <c r="J10">
        <v>78</v>
      </c>
      <c r="K10">
        <v>1.2820512820512799</v>
      </c>
      <c r="L10">
        <v>6.8910256410256396</v>
      </c>
      <c r="M10">
        <v>45.963141025641001</v>
      </c>
      <c r="N10">
        <v>0</v>
      </c>
      <c r="O10">
        <v>43</v>
      </c>
    </row>
    <row r="11" spans="1:15" x14ac:dyDescent="0.25">
      <c r="A11" t="s">
        <v>18</v>
      </c>
      <c r="B11">
        <v>1</v>
      </c>
      <c r="C11">
        <v>10</v>
      </c>
      <c r="D11">
        <v>125</v>
      </c>
      <c r="E11">
        <v>43</v>
      </c>
      <c r="F11">
        <v>4440</v>
      </c>
      <c r="G11">
        <v>5000</v>
      </c>
      <c r="H11">
        <v>12.5</v>
      </c>
      <c r="I11">
        <v>5</v>
      </c>
      <c r="J11">
        <v>78</v>
      </c>
      <c r="K11">
        <v>1.2820512820512799</v>
      </c>
      <c r="L11">
        <v>6.8910256410256396</v>
      </c>
      <c r="M11">
        <v>45.963141025641001</v>
      </c>
      <c r="N11">
        <v>0</v>
      </c>
      <c r="O11">
        <v>43</v>
      </c>
    </row>
    <row r="12" spans="1:15" x14ac:dyDescent="0.25">
      <c r="A12" t="s">
        <v>18</v>
      </c>
      <c r="B12">
        <v>2</v>
      </c>
      <c r="C12">
        <v>1</v>
      </c>
      <c r="D12">
        <v>2</v>
      </c>
      <c r="E12">
        <v>30</v>
      </c>
      <c r="F12">
        <v>109</v>
      </c>
      <c r="G12">
        <v>5000</v>
      </c>
      <c r="H12">
        <v>12.5</v>
      </c>
      <c r="I12">
        <v>5</v>
      </c>
      <c r="J12">
        <v>78</v>
      </c>
      <c r="K12">
        <v>2.5641025641025599</v>
      </c>
      <c r="L12">
        <v>7.5320512820512802</v>
      </c>
      <c r="M12">
        <v>32.259615384615302</v>
      </c>
      <c r="N12">
        <v>0</v>
      </c>
      <c r="O12">
        <v>32</v>
      </c>
    </row>
    <row r="13" spans="1:15" x14ac:dyDescent="0.25">
      <c r="A13" t="s">
        <v>18</v>
      </c>
      <c r="B13">
        <v>2</v>
      </c>
      <c r="C13">
        <v>2</v>
      </c>
      <c r="D13">
        <v>3</v>
      </c>
      <c r="E13">
        <v>30</v>
      </c>
      <c r="F13">
        <v>141</v>
      </c>
      <c r="G13">
        <v>5000</v>
      </c>
      <c r="H13">
        <v>12.5</v>
      </c>
      <c r="I13">
        <v>5</v>
      </c>
      <c r="J13">
        <v>78</v>
      </c>
      <c r="K13">
        <v>2.5641025641025599</v>
      </c>
      <c r="L13">
        <v>7.5320512820512802</v>
      </c>
      <c r="M13">
        <v>32.259615384615302</v>
      </c>
      <c r="N13">
        <v>0.45192307692307698</v>
      </c>
      <c r="O13">
        <v>32</v>
      </c>
    </row>
    <row r="14" spans="1:15" x14ac:dyDescent="0.25">
      <c r="A14" t="s">
        <v>18</v>
      </c>
      <c r="B14">
        <v>2</v>
      </c>
      <c r="C14">
        <v>3</v>
      </c>
      <c r="D14">
        <v>4</v>
      </c>
      <c r="E14">
        <v>30</v>
      </c>
      <c r="F14">
        <v>173</v>
      </c>
      <c r="G14">
        <v>5000</v>
      </c>
      <c r="H14">
        <v>12.5</v>
      </c>
      <c r="I14">
        <v>5</v>
      </c>
      <c r="J14">
        <v>78</v>
      </c>
      <c r="K14">
        <v>2.5641025641025599</v>
      </c>
      <c r="L14">
        <v>7.5320512820512802</v>
      </c>
      <c r="M14">
        <v>32.259615384615302</v>
      </c>
      <c r="N14">
        <v>0.90384615384615397</v>
      </c>
      <c r="O14">
        <v>32</v>
      </c>
    </row>
    <row r="15" spans="1:15" x14ac:dyDescent="0.25">
      <c r="A15" t="s">
        <v>18</v>
      </c>
      <c r="B15">
        <v>2</v>
      </c>
      <c r="C15">
        <v>4</v>
      </c>
      <c r="D15">
        <v>5</v>
      </c>
      <c r="E15">
        <v>30</v>
      </c>
      <c r="F15">
        <v>205</v>
      </c>
      <c r="G15">
        <v>5000</v>
      </c>
      <c r="H15">
        <v>12.5</v>
      </c>
      <c r="I15">
        <v>5</v>
      </c>
      <c r="J15">
        <v>78</v>
      </c>
      <c r="K15">
        <v>2.5641025641025599</v>
      </c>
      <c r="L15">
        <v>7.5320512820512802</v>
      </c>
      <c r="M15">
        <v>32.259615384615302</v>
      </c>
      <c r="N15">
        <v>1.3557692307692299</v>
      </c>
      <c r="O15">
        <v>31</v>
      </c>
    </row>
    <row r="16" spans="1:15" x14ac:dyDescent="0.25">
      <c r="A16" t="s">
        <v>18</v>
      </c>
      <c r="B16">
        <v>2</v>
      </c>
      <c r="C16">
        <v>5</v>
      </c>
      <c r="D16">
        <v>6</v>
      </c>
      <c r="E16">
        <v>30</v>
      </c>
      <c r="F16">
        <v>236</v>
      </c>
      <c r="G16">
        <v>5000</v>
      </c>
      <c r="H16">
        <v>12.5</v>
      </c>
      <c r="I16">
        <v>5</v>
      </c>
      <c r="J16">
        <v>78</v>
      </c>
      <c r="K16">
        <v>2.5641025641025599</v>
      </c>
      <c r="L16">
        <v>7.5320512820512802</v>
      </c>
      <c r="M16">
        <v>32.259615384615302</v>
      </c>
      <c r="N16">
        <v>0</v>
      </c>
      <c r="O16">
        <v>30</v>
      </c>
    </row>
    <row r="17" spans="1:15" x14ac:dyDescent="0.25">
      <c r="A17" t="s">
        <v>18</v>
      </c>
      <c r="B17">
        <v>2</v>
      </c>
      <c r="C17">
        <v>6</v>
      </c>
      <c r="D17">
        <v>7</v>
      </c>
      <c r="E17">
        <v>30</v>
      </c>
      <c r="F17">
        <v>266</v>
      </c>
      <c r="G17">
        <v>5000</v>
      </c>
      <c r="H17">
        <v>12.5</v>
      </c>
      <c r="I17">
        <v>5</v>
      </c>
      <c r="J17">
        <v>78</v>
      </c>
      <c r="K17">
        <v>2.5641025641025599</v>
      </c>
      <c r="L17">
        <v>7.5320512820512802</v>
      </c>
      <c r="M17">
        <v>32.259615384615302</v>
      </c>
      <c r="N17">
        <v>0</v>
      </c>
      <c r="O17">
        <v>30</v>
      </c>
    </row>
    <row r="18" spans="1:15" x14ac:dyDescent="0.25">
      <c r="A18" t="s">
        <v>18</v>
      </c>
      <c r="B18">
        <v>2</v>
      </c>
      <c r="C18">
        <v>7</v>
      </c>
      <c r="D18">
        <v>10</v>
      </c>
      <c r="E18">
        <v>30</v>
      </c>
      <c r="F18">
        <v>392</v>
      </c>
      <c r="G18">
        <v>5000</v>
      </c>
      <c r="H18">
        <v>12.5</v>
      </c>
      <c r="I18">
        <v>5</v>
      </c>
      <c r="J18">
        <v>78</v>
      </c>
      <c r="K18">
        <v>2.5641025641025599</v>
      </c>
      <c r="L18">
        <v>7.5320512820512802</v>
      </c>
      <c r="M18">
        <v>32.259615384615302</v>
      </c>
      <c r="N18">
        <v>0</v>
      </c>
      <c r="O18">
        <v>30</v>
      </c>
    </row>
    <row r="19" spans="1:15" x14ac:dyDescent="0.25">
      <c r="A19" t="s">
        <v>18</v>
      </c>
      <c r="B19">
        <v>2</v>
      </c>
      <c r="C19">
        <v>8</v>
      </c>
      <c r="D19">
        <v>11</v>
      </c>
      <c r="E19">
        <v>30</v>
      </c>
      <c r="F19">
        <v>422</v>
      </c>
      <c r="G19">
        <v>5000</v>
      </c>
      <c r="H19">
        <v>12.5</v>
      </c>
      <c r="I19">
        <v>5</v>
      </c>
      <c r="J19">
        <v>78</v>
      </c>
      <c r="K19">
        <v>2.5641025641025599</v>
      </c>
      <c r="L19">
        <v>7.5320512820512802</v>
      </c>
      <c r="M19">
        <v>32.259615384615302</v>
      </c>
      <c r="N19">
        <v>0</v>
      </c>
      <c r="O19">
        <v>30</v>
      </c>
    </row>
    <row r="20" spans="1:15" x14ac:dyDescent="0.25">
      <c r="A20" t="s">
        <v>18</v>
      </c>
      <c r="B20">
        <v>2</v>
      </c>
      <c r="C20">
        <v>9</v>
      </c>
      <c r="D20">
        <v>12</v>
      </c>
      <c r="E20">
        <v>30</v>
      </c>
      <c r="F20">
        <v>452</v>
      </c>
      <c r="G20">
        <v>5000</v>
      </c>
      <c r="H20">
        <v>12.5</v>
      </c>
      <c r="I20">
        <v>5</v>
      </c>
      <c r="J20">
        <v>78</v>
      </c>
      <c r="K20">
        <v>2.5641025641025599</v>
      </c>
      <c r="L20">
        <v>7.5320512820512802</v>
      </c>
      <c r="M20">
        <v>32.259615384615302</v>
      </c>
      <c r="N20">
        <v>0</v>
      </c>
      <c r="O20">
        <v>30</v>
      </c>
    </row>
    <row r="21" spans="1:15" x14ac:dyDescent="0.25">
      <c r="A21" t="s">
        <v>18</v>
      </c>
      <c r="B21">
        <v>2</v>
      </c>
      <c r="C21">
        <v>10</v>
      </c>
      <c r="D21">
        <v>13</v>
      </c>
      <c r="E21">
        <v>30</v>
      </c>
      <c r="F21">
        <v>482</v>
      </c>
      <c r="G21">
        <v>5000</v>
      </c>
      <c r="H21">
        <v>12.5</v>
      </c>
      <c r="I21">
        <v>5</v>
      </c>
      <c r="J21">
        <v>78</v>
      </c>
      <c r="K21">
        <v>2.5641025641025599</v>
      </c>
      <c r="L21">
        <v>7.5320512820512802</v>
      </c>
      <c r="M21">
        <v>32.259615384615302</v>
      </c>
      <c r="N21">
        <v>0</v>
      </c>
      <c r="O21">
        <v>30</v>
      </c>
    </row>
    <row r="22" spans="1:15" x14ac:dyDescent="0.25">
      <c r="A22" t="s">
        <v>18</v>
      </c>
      <c r="B22">
        <v>2</v>
      </c>
      <c r="C22">
        <v>11</v>
      </c>
      <c r="D22">
        <v>54</v>
      </c>
      <c r="E22">
        <v>30</v>
      </c>
      <c r="F22">
        <v>831</v>
      </c>
      <c r="G22">
        <v>5000</v>
      </c>
      <c r="H22">
        <v>12.5</v>
      </c>
      <c r="I22">
        <v>5</v>
      </c>
      <c r="J22">
        <v>78</v>
      </c>
      <c r="K22">
        <v>2.5641025641025599</v>
      </c>
      <c r="L22">
        <v>7.5320512820512802</v>
      </c>
      <c r="M22">
        <v>32.259615384615302</v>
      </c>
      <c r="N22">
        <v>5.5485555555555504</v>
      </c>
      <c r="O22">
        <v>24</v>
      </c>
    </row>
    <row r="23" spans="1:15" x14ac:dyDescent="0.25">
      <c r="A23" t="s">
        <v>18</v>
      </c>
      <c r="B23">
        <v>2</v>
      </c>
      <c r="C23">
        <v>12</v>
      </c>
      <c r="D23">
        <v>55</v>
      </c>
      <c r="E23">
        <v>30</v>
      </c>
      <c r="F23">
        <v>855</v>
      </c>
      <c r="G23">
        <v>5000</v>
      </c>
      <c r="H23">
        <v>12.5</v>
      </c>
      <c r="I23">
        <v>5</v>
      </c>
      <c r="J23">
        <v>78</v>
      </c>
      <c r="K23">
        <v>2.5641025641025599</v>
      </c>
      <c r="L23">
        <v>7.5320512820512802</v>
      </c>
      <c r="M23">
        <v>32.259615384615302</v>
      </c>
      <c r="N23">
        <v>5.8377272727272702</v>
      </c>
      <c r="O23">
        <v>24</v>
      </c>
    </row>
    <row r="24" spans="1:15" x14ac:dyDescent="0.25">
      <c r="A24" t="s">
        <v>18</v>
      </c>
      <c r="B24">
        <v>2</v>
      </c>
      <c r="C24">
        <v>13</v>
      </c>
      <c r="D24">
        <v>56</v>
      </c>
      <c r="E24">
        <v>30</v>
      </c>
      <c r="F24">
        <v>879</v>
      </c>
      <c r="G24">
        <v>5000</v>
      </c>
      <c r="H24">
        <v>12.5</v>
      </c>
      <c r="I24">
        <v>5</v>
      </c>
      <c r="J24">
        <v>78</v>
      </c>
      <c r="K24">
        <v>2.5641025641025599</v>
      </c>
      <c r="L24">
        <v>7.5320512820512802</v>
      </c>
      <c r="M24">
        <v>32.259615384615302</v>
      </c>
      <c r="N24">
        <v>6.1191428571428501</v>
      </c>
      <c r="O24">
        <v>23</v>
      </c>
    </row>
    <row r="25" spans="1:15" x14ac:dyDescent="0.25">
      <c r="A25" t="s">
        <v>18</v>
      </c>
      <c r="B25">
        <v>2</v>
      </c>
      <c r="C25">
        <v>14</v>
      </c>
      <c r="D25">
        <v>57</v>
      </c>
      <c r="E25">
        <v>30</v>
      </c>
      <c r="F25">
        <v>902</v>
      </c>
      <c r="G25">
        <v>5000</v>
      </c>
      <c r="H25">
        <v>12.5</v>
      </c>
      <c r="I25">
        <v>5</v>
      </c>
      <c r="J25">
        <v>78</v>
      </c>
      <c r="K25">
        <v>2.5641025641025599</v>
      </c>
      <c r="L25">
        <v>7.5320512820512802</v>
      </c>
      <c r="M25">
        <v>32.259615384615302</v>
      </c>
      <c r="N25">
        <v>6.39021052631578</v>
      </c>
      <c r="O25">
        <v>23</v>
      </c>
    </row>
    <row r="26" spans="1:15" x14ac:dyDescent="0.25">
      <c r="A26" t="s">
        <v>18</v>
      </c>
      <c r="B26">
        <v>2</v>
      </c>
      <c r="C26">
        <v>15</v>
      </c>
      <c r="D26">
        <v>58</v>
      </c>
      <c r="E26">
        <v>30</v>
      </c>
      <c r="F26">
        <v>925</v>
      </c>
      <c r="G26">
        <v>5000</v>
      </c>
      <c r="H26">
        <v>12.5</v>
      </c>
      <c r="I26">
        <v>5</v>
      </c>
      <c r="J26">
        <v>78</v>
      </c>
      <c r="K26">
        <v>2.5641025641025599</v>
      </c>
      <c r="L26">
        <v>7.5320512820512802</v>
      </c>
      <c r="M26">
        <v>32.259615384615302</v>
      </c>
      <c r="N26">
        <v>6.6543103448275804</v>
      </c>
      <c r="O26">
        <v>23</v>
      </c>
    </row>
    <row r="27" spans="1:15" x14ac:dyDescent="0.25">
      <c r="A27" t="s">
        <v>18</v>
      </c>
      <c r="B27">
        <v>2</v>
      </c>
      <c r="C27">
        <v>16</v>
      </c>
      <c r="D27">
        <v>59</v>
      </c>
      <c r="E27">
        <v>30</v>
      </c>
      <c r="F27">
        <v>948</v>
      </c>
      <c r="G27">
        <v>5000</v>
      </c>
      <c r="H27">
        <v>12.5</v>
      </c>
      <c r="I27">
        <v>5</v>
      </c>
      <c r="J27">
        <v>78</v>
      </c>
      <c r="K27">
        <v>2.5641025641025599</v>
      </c>
      <c r="L27">
        <v>7.5320512820512802</v>
      </c>
      <c r="M27">
        <v>32.259615384615302</v>
      </c>
      <c r="N27">
        <v>6.9117966101694899</v>
      </c>
      <c r="O27">
        <v>23</v>
      </c>
    </row>
    <row r="28" spans="1:15" x14ac:dyDescent="0.25">
      <c r="A28" t="s">
        <v>18</v>
      </c>
      <c r="B28">
        <v>2</v>
      </c>
      <c r="C28">
        <v>17</v>
      </c>
      <c r="D28">
        <v>63</v>
      </c>
      <c r="E28">
        <v>30</v>
      </c>
      <c r="F28">
        <v>1070</v>
      </c>
      <c r="G28">
        <v>5000</v>
      </c>
      <c r="H28">
        <v>12.5</v>
      </c>
      <c r="I28">
        <v>5</v>
      </c>
      <c r="J28">
        <v>78</v>
      </c>
      <c r="K28">
        <v>2.5641025641025599</v>
      </c>
      <c r="L28">
        <v>7.5320512820512802</v>
      </c>
      <c r="M28">
        <v>32.259615384615302</v>
      </c>
      <c r="N28">
        <v>7.2576190476190403</v>
      </c>
      <c r="O28">
        <v>22</v>
      </c>
    </row>
    <row r="29" spans="1:15" x14ac:dyDescent="0.25">
      <c r="A29" t="s">
        <v>18</v>
      </c>
      <c r="B29">
        <v>3</v>
      </c>
      <c r="C29">
        <v>1</v>
      </c>
      <c r="D29">
        <v>8</v>
      </c>
      <c r="E29">
        <v>45</v>
      </c>
      <c r="F29">
        <v>296</v>
      </c>
      <c r="G29">
        <v>5000</v>
      </c>
      <c r="H29">
        <v>12.5</v>
      </c>
      <c r="I29">
        <v>5</v>
      </c>
      <c r="J29">
        <v>78</v>
      </c>
      <c r="K29">
        <v>3.84615384615384</v>
      </c>
      <c r="L29">
        <v>8.1730769230769198</v>
      </c>
      <c r="M29">
        <v>48.677884615384599</v>
      </c>
      <c r="N29">
        <v>0</v>
      </c>
      <c r="O29">
        <v>48</v>
      </c>
    </row>
    <row r="30" spans="1:15" x14ac:dyDescent="0.25">
      <c r="A30" t="s">
        <v>18</v>
      </c>
      <c r="B30">
        <v>3</v>
      </c>
      <c r="C30">
        <v>2</v>
      </c>
      <c r="D30">
        <v>9</v>
      </c>
      <c r="E30">
        <v>45</v>
      </c>
      <c r="F30">
        <v>344</v>
      </c>
      <c r="G30">
        <v>5000</v>
      </c>
      <c r="H30">
        <v>12.5</v>
      </c>
      <c r="I30">
        <v>5</v>
      </c>
      <c r="J30">
        <v>78</v>
      </c>
      <c r="K30">
        <v>3.84615384615384</v>
      </c>
      <c r="L30">
        <v>8.1730769230769198</v>
      </c>
      <c r="M30">
        <v>48.677884615384599</v>
      </c>
      <c r="N30">
        <v>0.73557692307692202</v>
      </c>
      <c r="O30">
        <v>48</v>
      </c>
    </row>
    <row r="31" spans="1:15" x14ac:dyDescent="0.25">
      <c r="A31" t="s">
        <v>18</v>
      </c>
      <c r="B31">
        <v>4</v>
      </c>
      <c r="C31">
        <v>1</v>
      </c>
      <c r="D31">
        <v>14</v>
      </c>
      <c r="E31">
        <v>2</v>
      </c>
      <c r="F31">
        <v>512</v>
      </c>
      <c r="G31">
        <v>5000</v>
      </c>
      <c r="H31">
        <v>12.5</v>
      </c>
      <c r="I31">
        <v>5</v>
      </c>
      <c r="J31">
        <v>78</v>
      </c>
      <c r="K31">
        <v>5.1282051282051198</v>
      </c>
      <c r="L31">
        <v>8.8141025641025603</v>
      </c>
      <c r="M31">
        <v>2.1762820512820502</v>
      </c>
      <c r="N31">
        <v>0</v>
      </c>
      <c r="O31">
        <v>2</v>
      </c>
    </row>
    <row r="32" spans="1:15" x14ac:dyDescent="0.25">
      <c r="A32" t="s">
        <v>18</v>
      </c>
      <c r="B32">
        <v>4</v>
      </c>
      <c r="C32">
        <v>2</v>
      </c>
      <c r="D32">
        <v>15</v>
      </c>
      <c r="E32">
        <v>2</v>
      </c>
      <c r="F32">
        <v>514</v>
      </c>
      <c r="G32">
        <v>5000</v>
      </c>
      <c r="H32">
        <v>12.5</v>
      </c>
      <c r="I32">
        <v>5</v>
      </c>
      <c r="J32">
        <v>78</v>
      </c>
      <c r="K32">
        <v>5.1282051282051198</v>
      </c>
      <c r="L32">
        <v>8.8141025641025603</v>
      </c>
      <c r="M32">
        <v>2.1762820512820502</v>
      </c>
      <c r="N32">
        <v>3.5256410256410201E-2</v>
      </c>
      <c r="O32">
        <v>2</v>
      </c>
    </row>
    <row r="33" spans="1:15" x14ac:dyDescent="0.25">
      <c r="A33" t="s">
        <v>18</v>
      </c>
      <c r="B33">
        <v>4</v>
      </c>
      <c r="C33">
        <v>3</v>
      </c>
      <c r="D33">
        <v>16</v>
      </c>
      <c r="E33">
        <v>2</v>
      </c>
      <c r="F33">
        <v>516</v>
      </c>
      <c r="G33">
        <v>5000</v>
      </c>
      <c r="H33">
        <v>12.5</v>
      </c>
      <c r="I33">
        <v>5</v>
      </c>
      <c r="J33">
        <v>78</v>
      </c>
      <c r="K33">
        <v>5.1282051282051198</v>
      </c>
      <c r="L33">
        <v>8.8141025641025603</v>
      </c>
      <c r="M33">
        <v>2.1762820512820502</v>
      </c>
      <c r="N33">
        <v>7.0512820512820401E-2</v>
      </c>
      <c r="O33">
        <v>2</v>
      </c>
    </row>
    <row r="34" spans="1:15" x14ac:dyDescent="0.25">
      <c r="A34" t="s">
        <v>18</v>
      </c>
      <c r="B34">
        <v>4</v>
      </c>
      <c r="C34">
        <v>4</v>
      </c>
      <c r="D34">
        <v>17</v>
      </c>
      <c r="E34">
        <v>2</v>
      </c>
      <c r="F34">
        <v>518</v>
      </c>
      <c r="G34">
        <v>5000</v>
      </c>
      <c r="H34">
        <v>12.5</v>
      </c>
      <c r="I34">
        <v>5</v>
      </c>
      <c r="J34">
        <v>78</v>
      </c>
      <c r="K34">
        <v>5.1282051282051198</v>
      </c>
      <c r="L34">
        <v>8.8141025641025603</v>
      </c>
      <c r="M34">
        <v>2.1762820512820502</v>
      </c>
      <c r="N34">
        <v>0.10576923076923</v>
      </c>
      <c r="O34">
        <v>2</v>
      </c>
    </row>
    <row r="35" spans="1:15" x14ac:dyDescent="0.25">
      <c r="A35" t="s">
        <v>18</v>
      </c>
      <c r="B35">
        <v>4</v>
      </c>
      <c r="C35">
        <v>5</v>
      </c>
      <c r="D35">
        <v>18</v>
      </c>
      <c r="E35">
        <v>2</v>
      </c>
      <c r="F35">
        <v>520</v>
      </c>
      <c r="G35">
        <v>5000</v>
      </c>
      <c r="H35">
        <v>12.5</v>
      </c>
      <c r="I35">
        <v>5</v>
      </c>
      <c r="J35">
        <v>78</v>
      </c>
      <c r="K35">
        <v>5.1282051282051198</v>
      </c>
      <c r="L35">
        <v>8.8141025641025603</v>
      </c>
      <c r="M35">
        <v>2.1762820512820502</v>
      </c>
      <c r="N35">
        <v>0</v>
      </c>
      <c r="O35">
        <v>2</v>
      </c>
    </row>
    <row r="36" spans="1:15" x14ac:dyDescent="0.25">
      <c r="A36" t="s">
        <v>18</v>
      </c>
      <c r="B36">
        <v>4</v>
      </c>
      <c r="C36">
        <v>6</v>
      </c>
      <c r="D36">
        <v>19</v>
      </c>
      <c r="E36">
        <v>2</v>
      </c>
      <c r="F36">
        <v>522</v>
      </c>
      <c r="G36">
        <v>5000</v>
      </c>
      <c r="H36">
        <v>12.5</v>
      </c>
      <c r="I36">
        <v>5</v>
      </c>
      <c r="J36">
        <v>78</v>
      </c>
      <c r="K36">
        <v>5.1282051282051198</v>
      </c>
      <c r="L36">
        <v>8.8141025641025603</v>
      </c>
      <c r="M36">
        <v>2.1762820512820502</v>
      </c>
      <c r="N36">
        <v>0</v>
      </c>
      <c r="O36">
        <v>2</v>
      </c>
    </row>
    <row r="37" spans="1:15" x14ac:dyDescent="0.25">
      <c r="A37" t="s">
        <v>18</v>
      </c>
      <c r="B37">
        <v>4</v>
      </c>
      <c r="C37">
        <v>7</v>
      </c>
      <c r="D37">
        <v>20</v>
      </c>
      <c r="E37">
        <v>2</v>
      </c>
      <c r="F37">
        <v>524</v>
      </c>
      <c r="G37">
        <v>5000</v>
      </c>
      <c r="H37">
        <v>12.5</v>
      </c>
      <c r="I37">
        <v>5</v>
      </c>
      <c r="J37">
        <v>78</v>
      </c>
      <c r="K37">
        <v>5.1282051282051198</v>
      </c>
      <c r="L37">
        <v>8.8141025641025603</v>
      </c>
      <c r="M37">
        <v>2.1762820512820502</v>
      </c>
      <c r="N37">
        <v>0</v>
      </c>
      <c r="O37">
        <v>2</v>
      </c>
    </row>
    <row r="38" spans="1:15" x14ac:dyDescent="0.25">
      <c r="A38" t="s">
        <v>18</v>
      </c>
      <c r="B38">
        <v>4</v>
      </c>
      <c r="C38">
        <v>8</v>
      </c>
      <c r="D38">
        <v>21</v>
      </c>
      <c r="E38">
        <v>2</v>
      </c>
      <c r="F38">
        <v>526</v>
      </c>
      <c r="G38">
        <v>5000</v>
      </c>
      <c r="H38">
        <v>12.5</v>
      </c>
      <c r="I38">
        <v>5</v>
      </c>
      <c r="J38">
        <v>78</v>
      </c>
      <c r="K38">
        <v>5.1282051282051198</v>
      </c>
      <c r="L38">
        <v>8.8141025641025603</v>
      </c>
      <c r="M38">
        <v>2.1762820512820502</v>
      </c>
      <c r="N38">
        <v>0</v>
      </c>
      <c r="O38">
        <v>2</v>
      </c>
    </row>
    <row r="39" spans="1:15" x14ac:dyDescent="0.25">
      <c r="A39" t="s">
        <v>18</v>
      </c>
      <c r="B39">
        <v>4</v>
      </c>
      <c r="C39">
        <v>9</v>
      </c>
      <c r="D39">
        <v>28</v>
      </c>
      <c r="E39">
        <v>2</v>
      </c>
      <c r="F39">
        <v>552</v>
      </c>
      <c r="G39">
        <v>5000</v>
      </c>
      <c r="H39">
        <v>12.5</v>
      </c>
      <c r="I39">
        <v>5</v>
      </c>
      <c r="J39">
        <v>78</v>
      </c>
      <c r="K39">
        <v>5.1282051282051198</v>
      </c>
      <c r="L39">
        <v>8.8141025641025603</v>
      </c>
      <c r="M39">
        <v>2.1762820512820502</v>
      </c>
      <c r="N39">
        <v>0</v>
      </c>
      <c r="O39">
        <v>2</v>
      </c>
    </row>
    <row r="40" spans="1:15" x14ac:dyDescent="0.25">
      <c r="A40" t="s">
        <v>18</v>
      </c>
      <c r="B40">
        <v>4</v>
      </c>
      <c r="C40">
        <v>10</v>
      </c>
      <c r="D40">
        <v>29</v>
      </c>
      <c r="E40">
        <v>2</v>
      </c>
      <c r="F40">
        <v>554</v>
      </c>
      <c r="G40">
        <v>5000</v>
      </c>
      <c r="H40">
        <v>12.5</v>
      </c>
      <c r="I40">
        <v>5</v>
      </c>
      <c r="J40">
        <v>78</v>
      </c>
      <c r="K40">
        <v>5.1282051282051198</v>
      </c>
      <c r="L40">
        <v>8.8141025641025603</v>
      </c>
      <c r="M40">
        <v>2.1762820512820502</v>
      </c>
      <c r="N40">
        <v>0</v>
      </c>
      <c r="O40">
        <v>2</v>
      </c>
    </row>
    <row r="41" spans="1:15" x14ac:dyDescent="0.25">
      <c r="A41" t="s">
        <v>18</v>
      </c>
      <c r="B41">
        <v>4</v>
      </c>
      <c r="C41">
        <v>11</v>
      </c>
      <c r="D41">
        <v>30</v>
      </c>
      <c r="E41">
        <v>2</v>
      </c>
      <c r="F41">
        <v>556</v>
      </c>
      <c r="G41">
        <v>5000</v>
      </c>
      <c r="H41">
        <v>12.5</v>
      </c>
      <c r="I41">
        <v>5</v>
      </c>
      <c r="J41">
        <v>78</v>
      </c>
      <c r="K41">
        <v>5.1282051282051198</v>
      </c>
      <c r="L41">
        <v>8.8141025641025603</v>
      </c>
      <c r="M41">
        <v>2.1762820512820502</v>
      </c>
      <c r="N41">
        <v>0.477866666666666</v>
      </c>
      <c r="O41">
        <v>1</v>
      </c>
    </row>
    <row r="42" spans="1:15" x14ac:dyDescent="0.25">
      <c r="A42" t="s">
        <v>18</v>
      </c>
      <c r="B42">
        <v>4</v>
      </c>
      <c r="C42">
        <v>12</v>
      </c>
      <c r="D42">
        <v>31</v>
      </c>
      <c r="E42">
        <v>2</v>
      </c>
      <c r="F42">
        <v>557</v>
      </c>
      <c r="G42">
        <v>5000</v>
      </c>
      <c r="H42">
        <v>12.5</v>
      </c>
      <c r="I42">
        <v>5</v>
      </c>
      <c r="J42">
        <v>78</v>
      </c>
      <c r="K42">
        <v>5.1282051282051198</v>
      </c>
      <c r="L42">
        <v>8.8141025641025603</v>
      </c>
      <c r="M42">
        <v>2.1762820512820502</v>
      </c>
      <c r="N42">
        <v>0.49849677419354799</v>
      </c>
      <c r="O42">
        <v>1</v>
      </c>
    </row>
    <row r="43" spans="1:15" x14ac:dyDescent="0.25">
      <c r="A43" t="s">
        <v>18</v>
      </c>
      <c r="B43">
        <v>4</v>
      </c>
      <c r="C43">
        <v>13</v>
      </c>
      <c r="D43">
        <v>32</v>
      </c>
      <c r="E43">
        <v>2</v>
      </c>
      <c r="F43">
        <v>558</v>
      </c>
      <c r="G43">
        <v>5000</v>
      </c>
      <c r="H43">
        <v>12.5</v>
      </c>
      <c r="I43">
        <v>5</v>
      </c>
      <c r="J43">
        <v>78</v>
      </c>
      <c r="K43">
        <v>5.1282051282051198</v>
      </c>
      <c r="L43">
        <v>8.8141025641025603</v>
      </c>
      <c r="M43">
        <v>2.1762820512820502</v>
      </c>
      <c r="N43">
        <v>0.51785000000000003</v>
      </c>
      <c r="O43">
        <v>1</v>
      </c>
    </row>
    <row r="44" spans="1:15" x14ac:dyDescent="0.25">
      <c r="A44" t="s">
        <v>18</v>
      </c>
      <c r="B44">
        <v>4</v>
      </c>
      <c r="C44">
        <v>14</v>
      </c>
      <c r="D44">
        <v>33</v>
      </c>
      <c r="E44">
        <v>2</v>
      </c>
      <c r="F44">
        <v>559</v>
      </c>
      <c r="G44">
        <v>5000</v>
      </c>
      <c r="H44">
        <v>12.5</v>
      </c>
      <c r="I44">
        <v>5</v>
      </c>
      <c r="J44">
        <v>78</v>
      </c>
      <c r="K44">
        <v>5.1282051282051198</v>
      </c>
      <c r="L44">
        <v>8.8141025641025603</v>
      </c>
      <c r="M44">
        <v>2.1762820512820502</v>
      </c>
      <c r="N44">
        <v>0.53604242424242399</v>
      </c>
      <c r="O44">
        <v>1</v>
      </c>
    </row>
    <row r="45" spans="1:15" x14ac:dyDescent="0.25">
      <c r="A45" t="s">
        <v>18</v>
      </c>
      <c r="B45">
        <v>4</v>
      </c>
      <c r="C45">
        <v>15</v>
      </c>
      <c r="D45">
        <v>42</v>
      </c>
      <c r="E45">
        <v>2</v>
      </c>
      <c r="F45">
        <v>713</v>
      </c>
      <c r="G45">
        <v>5000</v>
      </c>
      <c r="H45">
        <v>12.5</v>
      </c>
      <c r="I45">
        <v>5</v>
      </c>
      <c r="J45">
        <v>78</v>
      </c>
      <c r="K45">
        <v>5.1282051282051198</v>
      </c>
      <c r="L45">
        <v>8.8141025641025603</v>
      </c>
      <c r="M45">
        <v>2.1762820512820502</v>
      </c>
      <c r="N45">
        <v>0.49974285714285699</v>
      </c>
      <c r="O45">
        <v>1</v>
      </c>
    </row>
    <row r="46" spans="1:15" x14ac:dyDescent="0.25">
      <c r="A46" t="s">
        <v>18</v>
      </c>
      <c r="B46">
        <v>5</v>
      </c>
      <c r="C46">
        <v>1</v>
      </c>
      <c r="D46">
        <v>22</v>
      </c>
      <c r="E46">
        <v>4</v>
      </c>
      <c r="F46">
        <v>528</v>
      </c>
      <c r="G46">
        <v>5000</v>
      </c>
      <c r="H46">
        <v>12.5</v>
      </c>
      <c r="I46">
        <v>5</v>
      </c>
      <c r="J46">
        <v>78</v>
      </c>
      <c r="K46">
        <v>6.4102564102564097</v>
      </c>
      <c r="L46">
        <v>9.4551282051282008</v>
      </c>
      <c r="M46">
        <v>4.3782051282051198</v>
      </c>
      <c r="N46">
        <v>0</v>
      </c>
      <c r="O46">
        <v>4</v>
      </c>
    </row>
    <row r="47" spans="1:15" x14ac:dyDescent="0.25">
      <c r="A47" t="s">
        <v>18</v>
      </c>
      <c r="B47">
        <v>5</v>
      </c>
      <c r="C47">
        <v>2</v>
      </c>
      <c r="D47">
        <v>23</v>
      </c>
      <c r="E47">
        <v>4</v>
      </c>
      <c r="F47">
        <v>532</v>
      </c>
      <c r="G47">
        <v>5000</v>
      </c>
      <c r="H47">
        <v>12.5</v>
      </c>
      <c r="I47">
        <v>5</v>
      </c>
      <c r="J47">
        <v>78</v>
      </c>
      <c r="K47">
        <v>6.4102564102564097</v>
      </c>
      <c r="L47">
        <v>9.4551282051282008</v>
      </c>
      <c r="M47">
        <v>4.3782051282051198</v>
      </c>
      <c r="N47">
        <v>7.5641025641025497E-2</v>
      </c>
      <c r="O47">
        <v>4</v>
      </c>
    </row>
    <row r="48" spans="1:15" x14ac:dyDescent="0.25">
      <c r="A48" t="s">
        <v>18</v>
      </c>
      <c r="B48">
        <v>5</v>
      </c>
      <c r="C48">
        <v>3</v>
      </c>
      <c r="D48">
        <v>24</v>
      </c>
      <c r="E48">
        <v>4</v>
      </c>
      <c r="F48">
        <v>536</v>
      </c>
      <c r="G48">
        <v>5000</v>
      </c>
      <c r="H48">
        <v>12.5</v>
      </c>
      <c r="I48">
        <v>5</v>
      </c>
      <c r="J48">
        <v>78</v>
      </c>
      <c r="K48">
        <v>6.4102564102564097</v>
      </c>
      <c r="L48">
        <v>9.4551282051282008</v>
      </c>
      <c r="M48">
        <v>4.3782051282051198</v>
      </c>
      <c r="N48">
        <v>0.15128205128205099</v>
      </c>
      <c r="O48">
        <v>4</v>
      </c>
    </row>
    <row r="49" spans="1:15" x14ac:dyDescent="0.25">
      <c r="A49" t="s">
        <v>18</v>
      </c>
      <c r="B49">
        <v>5</v>
      </c>
      <c r="C49">
        <v>4</v>
      </c>
      <c r="D49">
        <v>25</v>
      </c>
      <c r="E49">
        <v>4</v>
      </c>
      <c r="F49">
        <v>540</v>
      </c>
      <c r="G49">
        <v>5000</v>
      </c>
      <c r="H49">
        <v>12.5</v>
      </c>
      <c r="I49">
        <v>5</v>
      </c>
      <c r="J49">
        <v>78</v>
      </c>
      <c r="K49">
        <v>6.4102564102564097</v>
      </c>
      <c r="L49">
        <v>9.4551282051282008</v>
      </c>
      <c r="M49">
        <v>4.3782051282051198</v>
      </c>
      <c r="N49">
        <v>0.22692307692307601</v>
      </c>
      <c r="O49">
        <v>4</v>
      </c>
    </row>
    <row r="50" spans="1:15" x14ac:dyDescent="0.25">
      <c r="A50" t="s">
        <v>18</v>
      </c>
      <c r="B50">
        <v>5</v>
      </c>
      <c r="C50">
        <v>5</v>
      </c>
      <c r="D50">
        <v>26</v>
      </c>
      <c r="E50">
        <v>4</v>
      </c>
      <c r="F50">
        <v>544</v>
      </c>
      <c r="G50">
        <v>5000</v>
      </c>
      <c r="H50">
        <v>12.5</v>
      </c>
      <c r="I50">
        <v>5</v>
      </c>
      <c r="J50">
        <v>78</v>
      </c>
      <c r="K50">
        <v>6.4102564102564097</v>
      </c>
      <c r="L50">
        <v>9.4551282051282008</v>
      </c>
      <c r="M50">
        <v>4.3782051282051198</v>
      </c>
      <c r="N50">
        <v>0</v>
      </c>
      <c r="O50">
        <v>4</v>
      </c>
    </row>
    <row r="51" spans="1:15" x14ac:dyDescent="0.25">
      <c r="A51" t="s">
        <v>18</v>
      </c>
      <c r="B51">
        <v>5</v>
      </c>
      <c r="C51">
        <v>6</v>
      </c>
      <c r="D51">
        <v>27</v>
      </c>
      <c r="E51">
        <v>4</v>
      </c>
      <c r="F51">
        <v>548</v>
      </c>
      <c r="G51">
        <v>5000</v>
      </c>
      <c r="H51">
        <v>12.5</v>
      </c>
      <c r="I51">
        <v>5</v>
      </c>
      <c r="J51">
        <v>78</v>
      </c>
      <c r="K51">
        <v>6.4102564102564097</v>
      </c>
      <c r="L51">
        <v>9.4551282051282008</v>
      </c>
      <c r="M51">
        <v>4.3782051282051198</v>
      </c>
      <c r="N51">
        <v>0</v>
      </c>
      <c r="O51">
        <v>4</v>
      </c>
    </row>
    <row r="52" spans="1:15" x14ac:dyDescent="0.25">
      <c r="A52" t="s">
        <v>18</v>
      </c>
      <c r="B52">
        <v>5</v>
      </c>
      <c r="C52">
        <v>7</v>
      </c>
      <c r="D52">
        <v>50</v>
      </c>
      <c r="E52">
        <v>4</v>
      </c>
      <c r="F52">
        <v>815</v>
      </c>
      <c r="G52">
        <v>5000</v>
      </c>
      <c r="H52">
        <v>12.5</v>
      </c>
      <c r="I52">
        <v>5</v>
      </c>
      <c r="J52">
        <v>78</v>
      </c>
      <c r="K52">
        <v>6.4102564102564097</v>
      </c>
      <c r="L52">
        <v>9.4551282051282008</v>
      </c>
      <c r="M52">
        <v>4.3782051282051198</v>
      </c>
      <c r="N52">
        <v>0</v>
      </c>
      <c r="O52">
        <v>4</v>
      </c>
    </row>
    <row r="53" spans="1:15" x14ac:dyDescent="0.25">
      <c r="A53" t="s">
        <v>18</v>
      </c>
      <c r="B53">
        <v>5</v>
      </c>
      <c r="C53">
        <v>8</v>
      </c>
      <c r="D53">
        <v>51</v>
      </c>
      <c r="E53">
        <v>4</v>
      </c>
      <c r="F53">
        <v>819</v>
      </c>
      <c r="G53">
        <v>5000</v>
      </c>
      <c r="H53">
        <v>12.5</v>
      </c>
      <c r="I53">
        <v>5</v>
      </c>
      <c r="J53">
        <v>78</v>
      </c>
      <c r="K53">
        <v>6.4102564102564097</v>
      </c>
      <c r="L53">
        <v>9.4551282051282008</v>
      </c>
      <c r="M53">
        <v>4.3782051282051198</v>
      </c>
      <c r="N53">
        <v>0</v>
      </c>
      <c r="O53">
        <v>4</v>
      </c>
    </row>
    <row r="54" spans="1:15" x14ac:dyDescent="0.25">
      <c r="A54" t="s">
        <v>18</v>
      </c>
      <c r="B54">
        <v>5</v>
      </c>
      <c r="C54">
        <v>9</v>
      </c>
      <c r="D54">
        <v>52</v>
      </c>
      <c r="E54">
        <v>4</v>
      </c>
      <c r="F54">
        <v>823</v>
      </c>
      <c r="G54">
        <v>5000</v>
      </c>
      <c r="H54">
        <v>12.5</v>
      </c>
      <c r="I54">
        <v>5</v>
      </c>
      <c r="J54">
        <v>78</v>
      </c>
      <c r="K54">
        <v>6.4102564102564097</v>
      </c>
      <c r="L54">
        <v>9.4551282051282008</v>
      </c>
      <c r="M54">
        <v>4.3782051282051198</v>
      </c>
      <c r="N54">
        <v>0</v>
      </c>
      <c r="O54">
        <v>4</v>
      </c>
    </row>
    <row r="55" spans="1:15" x14ac:dyDescent="0.25">
      <c r="A55" t="s">
        <v>18</v>
      </c>
      <c r="B55">
        <v>5</v>
      </c>
      <c r="C55">
        <v>10</v>
      </c>
      <c r="D55">
        <v>53</v>
      </c>
      <c r="E55">
        <v>4</v>
      </c>
      <c r="F55">
        <v>827</v>
      </c>
      <c r="G55">
        <v>5000</v>
      </c>
      <c r="H55">
        <v>12.5</v>
      </c>
      <c r="I55">
        <v>5</v>
      </c>
      <c r="J55">
        <v>78</v>
      </c>
      <c r="K55">
        <v>6.4102564102564097</v>
      </c>
      <c r="L55">
        <v>9.4551282051282008</v>
      </c>
      <c r="M55">
        <v>4.3782051282051198</v>
      </c>
      <c r="N55">
        <v>0</v>
      </c>
      <c r="O55">
        <v>4</v>
      </c>
    </row>
    <row r="56" spans="1:15" x14ac:dyDescent="0.25">
      <c r="A56" t="s">
        <v>18</v>
      </c>
      <c r="B56">
        <v>6</v>
      </c>
      <c r="C56">
        <v>1</v>
      </c>
      <c r="D56">
        <v>34</v>
      </c>
      <c r="E56">
        <v>5</v>
      </c>
      <c r="F56">
        <v>560</v>
      </c>
      <c r="G56">
        <v>5000</v>
      </c>
      <c r="H56">
        <v>12.5</v>
      </c>
      <c r="I56">
        <v>5</v>
      </c>
      <c r="J56">
        <v>78</v>
      </c>
      <c r="K56">
        <v>7.6923076923076898</v>
      </c>
      <c r="L56">
        <v>10.096153846153801</v>
      </c>
      <c r="M56">
        <v>5.5048076923076898</v>
      </c>
      <c r="N56">
        <v>0</v>
      </c>
      <c r="O56">
        <v>5</v>
      </c>
    </row>
    <row r="57" spans="1:15" x14ac:dyDescent="0.25">
      <c r="A57" t="s">
        <v>18</v>
      </c>
      <c r="B57">
        <v>6</v>
      </c>
      <c r="C57">
        <v>2</v>
      </c>
      <c r="D57">
        <v>37</v>
      </c>
      <c r="E57">
        <v>5</v>
      </c>
      <c r="F57">
        <v>651</v>
      </c>
      <c r="G57">
        <v>5000</v>
      </c>
      <c r="H57">
        <v>12.5</v>
      </c>
      <c r="I57">
        <v>5</v>
      </c>
      <c r="J57">
        <v>78</v>
      </c>
      <c r="K57">
        <v>7.6923076923076898</v>
      </c>
      <c r="L57">
        <v>10.096153846153801</v>
      </c>
      <c r="M57">
        <v>5.5048076923076898</v>
      </c>
      <c r="N57">
        <v>0.10096153846153801</v>
      </c>
      <c r="O57">
        <v>5</v>
      </c>
    </row>
    <row r="58" spans="1:15" x14ac:dyDescent="0.25">
      <c r="A58" t="s">
        <v>18</v>
      </c>
      <c r="B58">
        <v>6</v>
      </c>
      <c r="C58">
        <v>3</v>
      </c>
      <c r="D58">
        <v>40</v>
      </c>
      <c r="E58">
        <v>5</v>
      </c>
      <c r="F58">
        <v>703</v>
      </c>
      <c r="G58">
        <v>5000</v>
      </c>
      <c r="H58">
        <v>12.5</v>
      </c>
      <c r="I58">
        <v>5</v>
      </c>
      <c r="J58">
        <v>78</v>
      </c>
      <c r="K58">
        <v>7.6923076923076898</v>
      </c>
      <c r="L58">
        <v>10.096153846153801</v>
      </c>
      <c r="M58">
        <v>5.5048076923076898</v>
      </c>
      <c r="N58">
        <v>0.20192307692307701</v>
      </c>
      <c r="O58">
        <v>5</v>
      </c>
    </row>
    <row r="59" spans="1:15" x14ac:dyDescent="0.25">
      <c r="A59" t="s">
        <v>18</v>
      </c>
      <c r="B59">
        <v>6</v>
      </c>
      <c r="C59">
        <v>4</v>
      </c>
      <c r="D59">
        <v>41</v>
      </c>
      <c r="E59">
        <v>5</v>
      </c>
      <c r="F59">
        <v>708</v>
      </c>
      <c r="G59">
        <v>5000</v>
      </c>
      <c r="H59">
        <v>12.5</v>
      </c>
      <c r="I59">
        <v>5</v>
      </c>
      <c r="J59">
        <v>78</v>
      </c>
      <c r="K59">
        <v>7.6923076923076898</v>
      </c>
      <c r="L59">
        <v>10.096153846153801</v>
      </c>
      <c r="M59">
        <v>5.5048076923076898</v>
      </c>
      <c r="N59">
        <v>0.30288461538461497</v>
      </c>
      <c r="O59">
        <v>5</v>
      </c>
    </row>
    <row r="60" spans="1:15" x14ac:dyDescent="0.25">
      <c r="A60" t="s">
        <v>18</v>
      </c>
      <c r="B60">
        <v>6</v>
      </c>
      <c r="C60">
        <v>5</v>
      </c>
      <c r="D60">
        <v>43</v>
      </c>
      <c r="E60">
        <v>5</v>
      </c>
      <c r="F60">
        <v>714</v>
      </c>
      <c r="G60">
        <v>5000</v>
      </c>
      <c r="H60">
        <v>12.5</v>
      </c>
      <c r="I60">
        <v>5</v>
      </c>
      <c r="J60">
        <v>78</v>
      </c>
      <c r="K60">
        <v>7.6923076923076898</v>
      </c>
      <c r="L60">
        <v>10.096153846153801</v>
      </c>
      <c r="M60">
        <v>5.5048076923076898</v>
      </c>
      <c r="N60">
        <v>0</v>
      </c>
      <c r="O60">
        <v>5</v>
      </c>
    </row>
    <row r="61" spans="1:15" x14ac:dyDescent="0.25">
      <c r="A61" t="s">
        <v>18</v>
      </c>
      <c r="B61">
        <v>6</v>
      </c>
      <c r="C61">
        <v>6</v>
      </c>
      <c r="D61">
        <v>44</v>
      </c>
      <c r="E61">
        <v>5</v>
      </c>
      <c r="F61">
        <v>719</v>
      </c>
      <c r="G61">
        <v>5000</v>
      </c>
      <c r="H61">
        <v>12.5</v>
      </c>
      <c r="I61">
        <v>5</v>
      </c>
      <c r="J61">
        <v>78</v>
      </c>
      <c r="K61">
        <v>7.6923076923076898</v>
      </c>
      <c r="L61">
        <v>10.096153846153801</v>
      </c>
      <c r="M61">
        <v>5.5048076923076898</v>
      </c>
      <c r="N61">
        <v>0</v>
      </c>
      <c r="O61">
        <v>5</v>
      </c>
    </row>
    <row r="62" spans="1:15" x14ac:dyDescent="0.25">
      <c r="A62" t="s">
        <v>18</v>
      </c>
      <c r="B62">
        <v>6</v>
      </c>
      <c r="C62">
        <v>7</v>
      </c>
      <c r="D62">
        <v>45</v>
      </c>
      <c r="E62">
        <v>5</v>
      </c>
      <c r="F62">
        <v>724</v>
      </c>
      <c r="G62">
        <v>5000</v>
      </c>
      <c r="H62">
        <v>12.5</v>
      </c>
      <c r="I62">
        <v>5</v>
      </c>
      <c r="J62">
        <v>78</v>
      </c>
      <c r="K62">
        <v>7.6923076923076898</v>
      </c>
      <c r="L62">
        <v>10.096153846153801</v>
      </c>
      <c r="M62">
        <v>5.5048076923076898</v>
      </c>
      <c r="N62">
        <v>0</v>
      </c>
      <c r="O62">
        <v>5</v>
      </c>
    </row>
    <row r="63" spans="1:15" x14ac:dyDescent="0.25">
      <c r="A63" t="s">
        <v>18</v>
      </c>
      <c r="B63">
        <v>6</v>
      </c>
      <c r="C63">
        <v>8</v>
      </c>
      <c r="D63">
        <v>46</v>
      </c>
      <c r="E63">
        <v>5</v>
      </c>
      <c r="F63">
        <v>796</v>
      </c>
      <c r="G63">
        <v>5000</v>
      </c>
      <c r="H63">
        <v>12.5</v>
      </c>
      <c r="I63">
        <v>5</v>
      </c>
      <c r="J63">
        <v>78</v>
      </c>
      <c r="K63">
        <v>7.6923076923076898</v>
      </c>
      <c r="L63">
        <v>10.096153846153801</v>
      </c>
      <c r="M63">
        <v>5.5048076923076898</v>
      </c>
      <c r="N63">
        <v>0</v>
      </c>
      <c r="O63">
        <v>5</v>
      </c>
    </row>
    <row r="64" spans="1:15" x14ac:dyDescent="0.25">
      <c r="A64" t="s">
        <v>18</v>
      </c>
      <c r="B64">
        <v>6</v>
      </c>
      <c r="C64">
        <v>9</v>
      </c>
      <c r="D64">
        <v>47</v>
      </c>
      <c r="E64">
        <v>5</v>
      </c>
      <c r="F64">
        <v>801</v>
      </c>
      <c r="G64">
        <v>5000</v>
      </c>
      <c r="H64">
        <v>12.5</v>
      </c>
      <c r="I64">
        <v>5</v>
      </c>
      <c r="J64">
        <v>78</v>
      </c>
      <c r="K64">
        <v>7.6923076923076898</v>
      </c>
      <c r="L64">
        <v>10.096153846153801</v>
      </c>
      <c r="M64">
        <v>5.5048076923076898</v>
      </c>
      <c r="N64">
        <v>0</v>
      </c>
      <c r="O64">
        <v>5</v>
      </c>
    </row>
    <row r="65" spans="1:15" x14ac:dyDescent="0.25">
      <c r="A65" t="s">
        <v>18</v>
      </c>
      <c r="B65">
        <v>6</v>
      </c>
      <c r="C65">
        <v>10</v>
      </c>
      <c r="D65">
        <v>48</v>
      </c>
      <c r="E65">
        <v>5</v>
      </c>
      <c r="F65">
        <v>806</v>
      </c>
      <c r="G65">
        <v>5000</v>
      </c>
      <c r="H65">
        <v>12.5</v>
      </c>
      <c r="I65">
        <v>5</v>
      </c>
      <c r="J65">
        <v>78</v>
      </c>
      <c r="K65">
        <v>7.6923076923076898</v>
      </c>
      <c r="L65">
        <v>10.096153846153801</v>
      </c>
      <c r="M65">
        <v>5.5048076923076898</v>
      </c>
      <c r="N65">
        <v>0</v>
      </c>
      <c r="O65">
        <v>5</v>
      </c>
    </row>
    <row r="66" spans="1:15" x14ac:dyDescent="0.25">
      <c r="A66" t="s">
        <v>18</v>
      </c>
      <c r="B66">
        <v>6</v>
      </c>
      <c r="C66">
        <v>11</v>
      </c>
      <c r="D66">
        <v>49</v>
      </c>
      <c r="E66">
        <v>5</v>
      </c>
      <c r="F66">
        <v>811</v>
      </c>
      <c r="G66">
        <v>5000</v>
      </c>
      <c r="H66">
        <v>12.5</v>
      </c>
      <c r="I66">
        <v>5</v>
      </c>
      <c r="J66">
        <v>78</v>
      </c>
      <c r="K66">
        <v>7.6923076923076898</v>
      </c>
      <c r="L66">
        <v>10.096153846153801</v>
      </c>
      <c r="M66">
        <v>5.5048076923076898</v>
      </c>
      <c r="N66">
        <v>0.96672448979591796</v>
      </c>
      <c r="O66">
        <v>4</v>
      </c>
    </row>
    <row r="67" spans="1:15" x14ac:dyDescent="0.25">
      <c r="A67" t="s">
        <v>18</v>
      </c>
      <c r="B67">
        <v>6</v>
      </c>
      <c r="C67">
        <v>12</v>
      </c>
      <c r="D67">
        <v>126</v>
      </c>
      <c r="E67">
        <v>5</v>
      </c>
      <c r="F67">
        <v>4483</v>
      </c>
      <c r="G67">
        <v>5000</v>
      </c>
      <c r="H67">
        <v>12.5</v>
      </c>
      <c r="I67">
        <v>5</v>
      </c>
      <c r="J67">
        <v>78</v>
      </c>
      <c r="K67">
        <v>7.6923076923076898</v>
      </c>
      <c r="L67">
        <v>10.096153846153801</v>
      </c>
      <c r="M67">
        <v>5.5048076923076898</v>
      </c>
      <c r="N67">
        <v>2.47959523809523</v>
      </c>
      <c r="O67">
        <v>2</v>
      </c>
    </row>
    <row r="68" spans="1:15" x14ac:dyDescent="0.25">
      <c r="A68" t="s">
        <v>18</v>
      </c>
      <c r="B68">
        <v>7</v>
      </c>
      <c r="C68">
        <v>1</v>
      </c>
      <c r="D68">
        <v>35</v>
      </c>
      <c r="E68">
        <v>39</v>
      </c>
      <c r="F68">
        <v>565</v>
      </c>
      <c r="G68">
        <v>5000</v>
      </c>
      <c r="H68">
        <v>12.5</v>
      </c>
      <c r="I68">
        <v>5</v>
      </c>
      <c r="J68">
        <v>78</v>
      </c>
      <c r="K68">
        <v>8.9743589743589691</v>
      </c>
      <c r="L68">
        <v>10.7371794871794</v>
      </c>
      <c r="M68">
        <v>43.1875</v>
      </c>
      <c r="N68">
        <v>0</v>
      </c>
      <c r="O68">
        <v>43</v>
      </c>
    </row>
    <row r="69" spans="1:15" x14ac:dyDescent="0.25">
      <c r="A69" t="s">
        <v>18</v>
      </c>
      <c r="B69">
        <v>7</v>
      </c>
      <c r="C69">
        <v>2</v>
      </c>
      <c r="D69">
        <v>36</v>
      </c>
      <c r="E69">
        <v>39</v>
      </c>
      <c r="F69">
        <v>608</v>
      </c>
      <c r="G69">
        <v>5000</v>
      </c>
      <c r="H69">
        <v>12.5</v>
      </c>
      <c r="I69">
        <v>5</v>
      </c>
      <c r="J69">
        <v>78</v>
      </c>
      <c r="K69">
        <v>8.9743589743589691</v>
      </c>
      <c r="L69">
        <v>10.7371794871794</v>
      </c>
      <c r="M69">
        <v>43.1875</v>
      </c>
      <c r="N69">
        <v>0.83750000000000002</v>
      </c>
      <c r="O69">
        <v>43</v>
      </c>
    </row>
    <row r="70" spans="1:15" x14ac:dyDescent="0.25">
      <c r="A70" t="s">
        <v>18</v>
      </c>
      <c r="B70">
        <v>7</v>
      </c>
      <c r="C70">
        <v>3</v>
      </c>
      <c r="D70">
        <v>38</v>
      </c>
      <c r="E70">
        <v>39</v>
      </c>
      <c r="F70">
        <v>656</v>
      </c>
      <c r="G70">
        <v>5000</v>
      </c>
      <c r="H70">
        <v>12.5</v>
      </c>
      <c r="I70">
        <v>5</v>
      </c>
      <c r="J70">
        <v>78</v>
      </c>
      <c r="K70">
        <v>8.9743589743589691</v>
      </c>
      <c r="L70">
        <v>10.7371794871794</v>
      </c>
      <c r="M70">
        <v>43.1875</v>
      </c>
      <c r="N70">
        <v>1.675</v>
      </c>
      <c r="O70">
        <v>42</v>
      </c>
    </row>
    <row r="71" spans="1:15" x14ac:dyDescent="0.25">
      <c r="A71" t="s">
        <v>18</v>
      </c>
      <c r="B71">
        <v>8</v>
      </c>
      <c r="C71">
        <v>1</v>
      </c>
      <c r="D71">
        <v>39</v>
      </c>
      <c r="E71">
        <v>5</v>
      </c>
      <c r="F71">
        <v>698</v>
      </c>
      <c r="G71">
        <v>5000</v>
      </c>
      <c r="H71">
        <v>12.5</v>
      </c>
      <c r="I71">
        <v>5</v>
      </c>
      <c r="J71">
        <v>78</v>
      </c>
      <c r="K71">
        <v>10.2564102564102</v>
      </c>
      <c r="L71">
        <v>11.378205128205099</v>
      </c>
      <c r="M71">
        <v>5.5689102564102502</v>
      </c>
      <c r="N71">
        <v>0</v>
      </c>
      <c r="O71">
        <v>5</v>
      </c>
    </row>
    <row r="72" spans="1:15" x14ac:dyDescent="0.25">
      <c r="A72" t="s">
        <v>18</v>
      </c>
      <c r="B72">
        <v>9</v>
      </c>
      <c r="C72">
        <v>1</v>
      </c>
      <c r="D72">
        <v>60</v>
      </c>
      <c r="E72">
        <v>30</v>
      </c>
      <c r="F72">
        <v>971</v>
      </c>
      <c r="G72">
        <v>5000</v>
      </c>
      <c r="H72">
        <v>12.5</v>
      </c>
      <c r="I72">
        <v>5</v>
      </c>
      <c r="J72">
        <v>78</v>
      </c>
      <c r="K72">
        <v>11.538461538461499</v>
      </c>
      <c r="L72">
        <v>12.019230769230701</v>
      </c>
      <c r="M72">
        <v>33.605769230769198</v>
      </c>
      <c r="N72">
        <v>0</v>
      </c>
      <c r="O72">
        <v>33</v>
      </c>
    </row>
    <row r="73" spans="1:15" x14ac:dyDescent="0.25">
      <c r="A73" t="s">
        <v>18</v>
      </c>
      <c r="B73">
        <v>10</v>
      </c>
      <c r="C73">
        <v>1</v>
      </c>
      <c r="D73">
        <v>61</v>
      </c>
      <c r="E73">
        <v>30</v>
      </c>
      <c r="F73">
        <v>1004</v>
      </c>
      <c r="G73">
        <v>5000</v>
      </c>
      <c r="H73">
        <v>12.5</v>
      </c>
      <c r="I73">
        <v>5</v>
      </c>
      <c r="J73">
        <v>78</v>
      </c>
      <c r="K73">
        <v>12.8205128205128</v>
      </c>
      <c r="L73">
        <v>12.6602564102564</v>
      </c>
      <c r="M73">
        <v>33.798076923076898</v>
      </c>
      <c r="N73">
        <v>0</v>
      </c>
      <c r="O73">
        <v>33</v>
      </c>
    </row>
    <row r="74" spans="1:15" x14ac:dyDescent="0.25">
      <c r="A74" t="s">
        <v>18</v>
      </c>
      <c r="B74">
        <v>10</v>
      </c>
      <c r="C74">
        <v>2</v>
      </c>
      <c r="D74">
        <v>62</v>
      </c>
      <c r="E74">
        <v>30</v>
      </c>
      <c r="F74">
        <v>1037</v>
      </c>
      <c r="G74">
        <v>5000</v>
      </c>
      <c r="H74">
        <v>12.5</v>
      </c>
      <c r="I74">
        <v>5</v>
      </c>
      <c r="J74">
        <v>78</v>
      </c>
      <c r="K74">
        <v>12.8205128205128</v>
      </c>
      <c r="L74">
        <v>12.6602564102564</v>
      </c>
      <c r="M74">
        <v>33.798076923076898</v>
      </c>
      <c r="N74">
        <v>0.75961538461538303</v>
      </c>
      <c r="O74">
        <v>33</v>
      </c>
    </row>
    <row r="75" spans="1:15" x14ac:dyDescent="0.25">
      <c r="A75" t="s">
        <v>18</v>
      </c>
      <c r="B75">
        <v>10</v>
      </c>
      <c r="C75">
        <v>3</v>
      </c>
      <c r="D75">
        <v>66</v>
      </c>
      <c r="E75">
        <v>30</v>
      </c>
      <c r="F75">
        <v>1237</v>
      </c>
      <c r="G75">
        <v>5000</v>
      </c>
      <c r="H75">
        <v>12.5</v>
      </c>
      <c r="I75">
        <v>5</v>
      </c>
      <c r="J75">
        <v>78</v>
      </c>
      <c r="K75">
        <v>12.8205128205128</v>
      </c>
      <c r="L75">
        <v>12.6602564102564</v>
      </c>
      <c r="M75">
        <v>33.798076923076898</v>
      </c>
      <c r="N75">
        <v>1.5192307692307601</v>
      </c>
      <c r="O75">
        <v>32</v>
      </c>
    </row>
    <row r="76" spans="1:15" x14ac:dyDescent="0.25">
      <c r="A76" t="s">
        <v>18</v>
      </c>
      <c r="B76">
        <v>11</v>
      </c>
      <c r="C76">
        <v>1</v>
      </c>
      <c r="D76">
        <v>64</v>
      </c>
      <c r="E76">
        <v>83</v>
      </c>
      <c r="F76">
        <v>1092</v>
      </c>
      <c r="G76">
        <v>5000</v>
      </c>
      <c r="H76">
        <v>12.5</v>
      </c>
      <c r="I76">
        <v>5</v>
      </c>
      <c r="J76">
        <v>78</v>
      </c>
      <c r="K76">
        <v>14.1025641025641</v>
      </c>
      <c r="L76">
        <v>13.301282051282</v>
      </c>
      <c r="M76">
        <v>94.040064102564102</v>
      </c>
      <c r="N76">
        <v>0</v>
      </c>
      <c r="O76">
        <v>94</v>
      </c>
    </row>
    <row r="77" spans="1:15" x14ac:dyDescent="0.25">
      <c r="A77" t="s">
        <v>18</v>
      </c>
      <c r="B77">
        <v>11</v>
      </c>
      <c r="C77">
        <v>2</v>
      </c>
      <c r="D77">
        <v>121</v>
      </c>
      <c r="E77">
        <v>83</v>
      </c>
      <c r="F77">
        <v>4129</v>
      </c>
      <c r="G77">
        <v>5000</v>
      </c>
      <c r="H77">
        <v>12.5</v>
      </c>
      <c r="I77">
        <v>5</v>
      </c>
      <c r="J77">
        <v>78</v>
      </c>
      <c r="K77">
        <v>14.1025641025641</v>
      </c>
      <c r="L77">
        <v>13.301282051282</v>
      </c>
      <c r="M77">
        <v>94.040064102564102</v>
      </c>
      <c r="N77">
        <v>2.20801282051282</v>
      </c>
      <c r="O77">
        <v>92</v>
      </c>
    </row>
    <row r="78" spans="1:15" x14ac:dyDescent="0.25">
      <c r="A78" t="s">
        <v>18</v>
      </c>
      <c r="B78">
        <v>11</v>
      </c>
      <c r="C78">
        <v>3</v>
      </c>
      <c r="D78">
        <v>122</v>
      </c>
      <c r="E78">
        <v>83</v>
      </c>
      <c r="F78">
        <v>4221</v>
      </c>
      <c r="G78">
        <v>5000</v>
      </c>
      <c r="H78">
        <v>12.5</v>
      </c>
      <c r="I78">
        <v>5</v>
      </c>
      <c r="J78">
        <v>78</v>
      </c>
      <c r="K78">
        <v>14.1025641025641</v>
      </c>
      <c r="L78">
        <v>13.301282051282</v>
      </c>
      <c r="M78">
        <v>94.040064102564102</v>
      </c>
      <c r="N78">
        <v>4.41602564102564</v>
      </c>
      <c r="O78">
        <v>90</v>
      </c>
    </row>
    <row r="79" spans="1:15" x14ac:dyDescent="0.25">
      <c r="A79" t="s">
        <v>18</v>
      </c>
      <c r="B79">
        <v>12</v>
      </c>
      <c r="C79">
        <v>1</v>
      </c>
      <c r="D79">
        <v>65</v>
      </c>
      <c r="E79">
        <v>45</v>
      </c>
      <c r="F79">
        <v>1186</v>
      </c>
      <c r="G79">
        <v>5000</v>
      </c>
      <c r="H79">
        <v>12.5</v>
      </c>
      <c r="I79">
        <v>5</v>
      </c>
      <c r="J79">
        <v>78</v>
      </c>
      <c r="K79">
        <v>15.3846153846153</v>
      </c>
      <c r="L79">
        <v>13.942307692307599</v>
      </c>
      <c r="M79">
        <v>51.274038461538403</v>
      </c>
      <c r="N79">
        <v>0</v>
      </c>
      <c r="O79">
        <v>51</v>
      </c>
    </row>
    <row r="80" spans="1:15" x14ac:dyDescent="0.25">
      <c r="A80" t="s">
        <v>18</v>
      </c>
      <c r="B80">
        <v>12</v>
      </c>
      <c r="C80">
        <v>2</v>
      </c>
      <c r="D80">
        <v>68</v>
      </c>
      <c r="E80">
        <v>45</v>
      </c>
      <c r="F80">
        <v>1620</v>
      </c>
      <c r="G80">
        <v>5000</v>
      </c>
      <c r="H80">
        <v>12.5</v>
      </c>
      <c r="I80">
        <v>5</v>
      </c>
      <c r="J80">
        <v>78</v>
      </c>
      <c r="K80">
        <v>15.3846153846153</v>
      </c>
      <c r="L80">
        <v>13.942307692307599</v>
      </c>
      <c r="M80">
        <v>51.274038461538403</v>
      </c>
      <c r="N80">
        <v>1.2548076923076901</v>
      </c>
      <c r="O80">
        <v>50</v>
      </c>
    </row>
    <row r="81" spans="1:15" x14ac:dyDescent="0.25">
      <c r="A81" t="s">
        <v>18</v>
      </c>
      <c r="B81">
        <v>12</v>
      </c>
      <c r="C81">
        <v>3</v>
      </c>
      <c r="D81">
        <v>72</v>
      </c>
      <c r="E81">
        <v>45</v>
      </c>
      <c r="F81">
        <v>2025</v>
      </c>
      <c r="G81">
        <v>5000</v>
      </c>
      <c r="H81">
        <v>12.5</v>
      </c>
      <c r="I81">
        <v>5</v>
      </c>
      <c r="J81">
        <v>78</v>
      </c>
      <c r="K81">
        <v>15.3846153846153</v>
      </c>
      <c r="L81">
        <v>13.942307692307599</v>
      </c>
      <c r="M81">
        <v>51.274038461538403</v>
      </c>
      <c r="N81">
        <v>2.5096153846153801</v>
      </c>
      <c r="O81">
        <v>49</v>
      </c>
    </row>
    <row r="82" spans="1:15" x14ac:dyDescent="0.25">
      <c r="A82" t="s">
        <v>18</v>
      </c>
      <c r="B82">
        <v>12</v>
      </c>
      <c r="C82">
        <v>4</v>
      </c>
      <c r="D82">
        <v>73</v>
      </c>
      <c r="E82">
        <v>45</v>
      </c>
      <c r="F82">
        <v>2074</v>
      </c>
      <c r="G82">
        <v>5000</v>
      </c>
      <c r="H82">
        <v>12.5</v>
      </c>
      <c r="I82">
        <v>5</v>
      </c>
      <c r="J82">
        <v>78</v>
      </c>
      <c r="K82">
        <v>15.3846153846153</v>
      </c>
      <c r="L82">
        <v>13.942307692307599</v>
      </c>
      <c r="M82">
        <v>51.274038461538403</v>
      </c>
      <c r="N82">
        <v>3.76442307692307</v>
      </c>
      <c r="O82">
        <v>48</v>
      </c>
    </row>
    <row r="83" spans="1:15" x14ac:dyDescent="0.25">
      <c r="A83" t="s">
        <v>18</v>
      </c>
      <c r="B83">
        <v>12</v>
      </c>
      <c r="C83">
        <v>5</v>
      </c>
      <c r="D83">
        <v>82</v>
      </c>
      <c r="E83">
        <v>45</v>
      </c>
      <c r="F83">
        <v>2591</v>
      </c>
      <c r="G83">
        <v>5000</v>
      </c>
      <c r="H83">
        <v>12.5</v>
      </c>
      <c r="I83">
        <v>5</v>
      </c>
      <c r="J83">
        <v>78</v>
      </c>
      <c r="K83">
        <v>15.3846153846153</v>
      </c>
      <c r="L83">
        <v>13.942307692307599</v>
      </c>
      <c r="M83">
        <v>51.274038461538403</v>
      </c>
      <c r="N83">
        <v>0</v>
      </c>
      <c r="O83">
        <v>45</v>
      </c>
    </row>
    <row r="84" spans="1:15" x14ac:dyDescent="0.25">
      <c r="A84" t="s">
        <v>18</v>
      </c>
      <c r="B84">
        <v>12</v>
      </c>
      <c r="C84">
        <v>6</v>
      </c>
      <c r="D84">
        <v>102</v>
      </c>
      <c r="E84">
        <v>45</v>
      </c>
      <c r="F84">
        <v>3561</v>
      </c>
      <c r="G84">
        <v>5000</v>
      </c>
      <c r="H84">
        <v>12.5</v>
      </c>
      <c r="I84">
        <v>5</v>
      </c>
      <c r="J84">
        <v>78</v>
      </c>
      <c r="K84">
        <v>15.3846153846153</v>
      </c>
      <c r="L84">
        <v>13.942307692307599</v>
      </c>
      <c r="M84">
        <v>51.274038461538403</v>
      </c>
      <c r="N84">
        <v>0</v>
      </c>
      <c r="O84">
        <v>45</v>
      </c>
    </row>
    <row r="85" spans="1:15" x14ac:dyDescent="0.25">
      <c r="A85" t="s">
        <v>18</v>
      </c>
      <c r="B85">
        <v>12</v>
      </c>
      <c r="C85">
        <v>7</v>
      </c>
      <c r="D85">
        <v>103</v>
      </c>
      <c r="E85">
        <v>45</v>
      </c>
      <c r="F85">
        <v>3606</v>
      </c>
      <c r="G85">
        <v>5000</v>
      </c>
      <c r="H85">
        <v>12.5</v>
      </c>
      <c r="I85">
        <v>5</v>
      </c>
      <c r="J85">
        <v>78</v>
      </c>
      <c r="K85">
        <v>15.3846153846153</v>
      </c>
      <c r="L85">
        <v>13.942307692307599</v>
      </c>
      <c r="M85">
        <v>51.274038461538403</v>
      </c>
      <c r="N85">
        <v>0</v>
      </c>
      <c r="O85">
        <v>45</v>
      </c>
    </row>
    <row r="86" spans="1:15" x14ac:dyDescent="0.25">
      <c r="A86" t="s">
        <v>18</v>
      </c>
      <c r="B86">
        <v>12</v>
      </c>
      <c r="C86">
        <v>8</v>
      </c>
      <c r="D86">
        <v>104</v>
      </c>
      <c r="E86">
        <v>45</v>
      </c>
      <c r="F86">
        <v>3651</v>
      </c>
      <c r="G86">
        <v>5000</v>
      </c>
      <c r="H86">
        <v>12.5</v>
      </c>
      <c r="I86">
        <v>5</v>
      </c>
      <c r="J86">
        <v>78</v>
      </c>
      <c r="K86">
        <v>15.3846153846153</v>
      </c>
      <c r="L86">
        <v>13.942307692307599</v>
      </c>
      <c r="M86">
        <v>51.274038461538403</v>
      </c>
      <c r="N86">
        <v>0</v>
      </c>
      <c r="O86">
        <v>45</v>
      </c>
    </row>
    <row r="87" spans="1:15" x14ac:dyDescent="0.25">
      <c r="A87" t="s">
        <v>18</v>
      </c>
      <c r="B87">
        <v>12</v>
      </c>
      <c r="C87">
        <v>9</v>
      </c>
      <c r="D87">
        <v>106</v>
      </c>
      <c r="E87">
        <v>45</v>
      </c>
      <c r="F87">
        <v>3739</v>
      </c>
      <c r="G87">
        <v>5000</v>
      </c>
      <c r="H87">
        <v>12.5</v>
      </c>
      <c r="I87">
        <v>5</v>
      </c>
      <c r="J87">
        <v>78</v>
      </c>
      <c r="K87">
        <v>15.3846153846153</v>
      </c>
      <c r="L87">
        <v>13.942307692307599</v>
      </c>
      <c r="M87">
        <v>51.274038461538403</v>
      </c>
      <c r="N87">
        <v>0</v>
      </c>
      <c r="O87">
        <v>45</v>
      </c>
    </row>
    <row r="88" spans="1:15" x14ac:dyDescent="0.25">
      <c r="A88" t="s">
        <v>18</v>
      </c>
      <c r="B88">
        <v>12</v>
      </c>
      <c r="C88">
        <v>10</v>
      </c>
      <c r="D88">
        <v>116</v>
      </c>
      <c r="E88">
        <v>45</v>
      </c>
      <c r="F88">
        <v>3876</v>
      </c>
      <c r="G88">
        <v>5000</v>
      </c>
      <c r="H88">
        <v>12.5</v>
      </c>
      <c r="I88">
        <v>5</v>
      </c>
      <c r="J88">
        <v>78</v>
      </c>
      <c r="K88">
        <v>15.3846153846153</v>
      </c>
      <c r="L88">
        <v>13.942307692307599</v>
      </c>
      <c r="M88">
        <v>51.274038461538403</v>
      </c>
      <c r="N88">
        <v>0</v>
      </c>
      <c r="O88">
        <v>45</v>
      </c>
    </row>
    <row r="89" spans="1:15" x14ac:dyDescent="0.25">
      <c r="A89" t="s">
        <v>18</v>
      </c>
      <c r="B89">
        <v>12</v>
      </c>
      <c r="C89">
        <v>11</v>
      </c>
      <c r="D89">
        <v>120</v>
      </c>
      <c r="E89">
        <v>45</v>
      </c>
      <c r="F89">
        <v>4105</v>
      </c>
      <c r="G89">
        <v>5000</v>
      </c>
      <c r="H89">
        <v>12.5</v>
      </c>
      <c r="I89">
        <v>5</v>
      </c>
      <c r="J89">
        <v>78</v>
      </c>
      <c r="K89">
        <v>15.3846153846153</v>
      </c>
      <c r="L89">
        <v>13.942307692307599</v>
      </c>
      <c r="M89">
        <v>51.274038461538403</v>
      </c>
      <c r="N89">
        <v>20.535</v>
      </c>
      <c r="O89">
        <v>24</v>
      </c>
    </row>
    <row r="90" spans="1:15" x14ac:dyDescent="0.25">
      <c r="A90" t="s">
        <v>18</v>
      </c>
      <c r="B90">
        <v>12</v>
      </c>
      <c r="C90">
        <v>12</v>
      </c>
      <c r="D90">
        <v>124</v>
      </c>
      <c r="E90">
        <v>45</v>
      </c>
      <c r="F90">
        <v>4418</v>
      </c>
      <c r="G90">
        <v>5000</v>
      </c>
      <c r="H90">
        <v>12.5</v>
      </c>
      <c r="I90">
        <v>5</v>
      </c>
      <c r="J90">
        <v>78</v>
      </c>
      <c r="K90">
        <v>15.3846153846153</v>
      </c>
      <c r="L90">
        <v>13.942307692307599</v>
      </c>
      <c r="M90">
        <v>51.274038461538403</v>
      </c>
      <c r="N90">
        <v>22.058419354838701</v>
      </c>
      <c r="O90">
        <v>22</v>
      </c>
    </row>
    <row r="91" spans="1:15" x14ac:dyDescent="0.25">
      <c r="A91" t="s">
        <v>18</v>
      </c>
      <c r="B91">
        <v>13</v>
      </c>
      <c r="C91">
        <v>1</v>
      </c>
      <c r="D91">
        <v>67</v>
      </c>
      <c r="E91">
        <v>307</v>
      </c>
      <c r="F91">
        <v>1269</v>
      </c>
      <c r="G91">
        <v>5000</v>
      </c>
      <c r="H91">
        <v>12.5</v>
      </c>
      <c r="I91">
        <v>5</v>
      </c>
      <c r="J91">
        <v>78</v>
      </c>
      <c r="K91">
        <v>16.6666666666666</v>
      </c>
      <c r="L91">
        <v>14.5833333333333</v>
      </c>
      <c r="M91">
        <v>351.77083333333297</v>
      </c>
      <c r="N91">
        <v>0</v>
      </c>
      <c r="O91">
        <v>351</v>
      </c>
    </row>
    <row r="92" spans="1:15" x14ac:dyDescent="0.25">
      <c r="A92" t="s">
        <v>18</v>
      </c>
      <c r="B92">
        <v>14</v>
      </c>
      <c r="C92">
        <v>1</v>
      </c>
      <c r="D92">
        <v>69</v>
      </c>
      <c r="E92">
        <v>107</v>
      </c>
      <c r="F92">
        <v>1737</v>
      </c>
      <c r="G92">
        <v>5000</v>
      </c>
      <c r="H92">
        <v>12.5</v>
      </c>
      <c r="I92">
        <v>5</v>
      </c>
      <c r="J92">
        <v>78</v>
      </c>
      <c r="K92">
        <v>17.948717948717899</v>
      </c>
      <c r="L92">
        <v>15.2243589743589</v>
      </c>
      <c r="M92">
        <v>123.290064102564</v>
      </c>
      <c r="N92">
        <v>0</v>
      </c>
      <c r="O92">
        <v>123</v>
      </c>
    </row>
    <row r="93" spans="1:15" x14ac:dyDescent="0.25">
      <c r="A93" t="s">
        <v>18</v>
      </c>
      <c r="B93">
        <v>14</v>
      </c>
      <c r="C93">
        <v>2</v>
      </c>
      <c r="D93">
        <v>70</v>
      </c>
      <c r="E93">
        <v>107</v>
      </c>
      <c r="F93">
        <v>1860</v>
      </c>
      <c r="G93">
        <v>5000</v>
      </c>
      <c r="H93">
        <v>12.5</v>
      </c>
      <c r="I93">
        <v>5</v>
      </c>
      <c r="J93">
        <v>78</v>
      </c>
      <c r="K93">
        <v>17.948717948717899</v>
      </c>
      <c r="L93">
        <v>15.2243589743589</v>
      </c>
      <c r="M93">
        <v>123.290064102564</v>
      </c>
      <c r="N93">
        <v>3.2580128205128198</v>
      </c>
      <c r="O93">
        <v>120</v>
      </c>
    </row>
    <row r="94" spans="1:15" x14ac:dyDescent="0.25">
      <c r="A94" t="s">
        <v>18</v>
      </c>
      <c r="B94">
        <v>14</v>
      </c>
      <c r="C94">
        <v>3</v>
      </c>
      <c r="D94">
        <v>75</v>
      </c>
      <c r="E94">
        <v>107</v>
      </c>
      <c r="F94">
        <v>2161</v>
      </c>
      <c r="G94">
        <v>5000</v>
      </c>
      <c r="H94">
        <v>12.5</v>
      </c>
      <c r="I94">
        <v>5</v>
      </c>
      <c r="J94">
        <v>78</v>
      </c>
      <c r="K94">
        <v>17.948717948717899</v>
      </c>
      <c r="L94">
        <v>15.2243589743589</v>
      </c>
      <c r="M94">
        <v>123.290064102564</v>
      </c>
      <c r="N94">
        <v>6.5160256410256396</v>
      </c>
      <c r="O94">
        <v>117</v>
      </c>
    </row>
    <row r="95" spans="1:15" x14ac:dyDescent="0.25">
      <c r="A95" t="s">
        <v>18</v>
      </c>
      <c r="B95">
        <v>14</v>
      </c>
      <c r="C95">
        <v>4</v>
      </c>
      <c r="D95">
        <v>80</v>
      </c>
      <c r="E95">
        <v>107</v>
      </c>
      <c r="F95">
        <v>2441</v>
      </c>
      <c r="G95">
        <v>5000</v>
      </c>
      <c r="H95">
        <v>12.5</v>
      </c>
      <c r="I95">
        <v>5</v>
      </c>
      <c r="J95">
        <v>78</v>
      </c>
      <c r="K95">
        <v>17.948717948717899</v>
      </c>
      <c r="L95">
        <v>15.2243589743589</v>
      </c>
      <c r="M95">
        <v>123.290064102564</v>
      </c>
      <c r="N95">
        <v>9.7740384615384599</v>
      </c>
      <c r="O95">
        <v>114</v>
      </c>
    </row>
    <row r="96" spans="1:15" x14ac:dyDescent="0.25">
      <c r="A96" t="s">
        <v>18</v>
      </c>
      <c r="B96">
        <v>14</v>
      </c>
      <c r="C96">
        <v>5</v>
      </c>
      <c r="D96">
        <v>101</v>
      </c>
      <c r="E96">
        <v>107</v>
      </c>
      <c r="F96">
        <v>3454</v>
      </c>
      <c r="G96">
        <v>5000</v>
      </c>
      <c r="H96">
        <v>12.5</v>
      </c>
      <c r="I96">
        <v>5</v>
      </c>
      <c r="J96">
        <v>78</v>
      </c>
      <c r="K96">
        <v>17.948717948717899</v>
      </c>
      <c r="L96">
        <v>15.2243589743589</v>
      </c>
      <c r="M96">
        <v>123.290064102564</v>
      </c>
      <c r="N96">
        <v>0</v>
      </c>
      <c r="O96">
        <v>107</v>
      </c>
    </row>
    <row r="97" spans="1:15" x14ac:dyDescent="0.25">
      <c r="A97" t="s">
        <v>18</v>
      </c>
      <c r="B97">
        <v>14</v>
      </c>
      <c r="C97">
        <v>6</v>
      </c>
      <c r="D97">
        <v>119</v>
      </c>
      <c r="E97">
        <v>107</v>
      </c>
      <c r="F97">
        <v>3998</v>
      </c>
      <c r="G97">
        <v>5000</v>
      </c>
      <c r="H97">
        <v>12.5</v>
      </c>
      <c r="I97">
        <v>5</v>
      </c>
      <c r="J97">
        <v>78</v>
      </c>
      <c r="K97">
        <v>17.948717948717899</v>
      </c>
      <c r="L97">
        <v>15.2243589743589</v>
      </c>
      <c r="M97">
        <v>123.290064102564</v>
      </c>
      <c r="N97">
        <v>0</v>
      </c>
      <c r="O97">
        <v>107</v>
      </c>
    </row>
    <row r="98" spans="1:15" x14ac:dyDescent="0.25">
      <c r="A98" t="s">
        <v>18</v>
      </c>
      <c r="B98">
        <v>14</v>
      </c>
      <c r="C98">
        <v>7</v>
      </c>
      <c r="D98">
        <v>123</v>
      </c>
      <c r="E98">
        <v>107</v>
      </c>
      <c r="F98">
        <v>4311</v>
      </c>
      <c r="G98">
        <v>5000</v>
      </c>
      <c r="H98">
        <v>12.5</v>
      </c>
      <c r="I98">
        <v>5</v>
      </c>
      <c r="J98">
        <v>78</v>
      </c>
      <c r="K98">
        <v>17.948717948717899</v>
      </c>
      <c r="L98">
        <v>15.2243589743589</v>
      </c>
      <c r="M98">
        <v>123.290064102564</v>
      </c>
      <c r="N98">
        <v>0</v>
      </c>
      <c r="O98">
        <v>107</v>
      </c>
    </row>
    <row r="99" spans="1:15" x14ac:dyDescent="0.25">
      <c r="A99" t="s">
        <v>18</v>
      </c>
      <c r="B99">
        <v>15</v>
      </c>
      <c r="C99">
        <v>1</v>
      </c>
      <c r="D99">
        <v>74</v>
      </c>
      <c r="E99">
        <v>34</v>
      </c>
      <c r="F99">
        <v>2122</v>
      </c>
      <c r="G99">
        <v>5000</v>
      </c>
      <c r="H99">
        <v>12.5</v>
      </c>
      <c r="I99">
        <v>5</v>
      </c>
      <c r="J99">
        <v>78</v>
      </c>
      <c r="K99">
        <v>19.230769230769202</v>
      </c>
      <c r="L99">
        <v>15.865384615384601</v>
      </c>
      <c r="M99">
        <v>39.394230769230703</v>
      </c>
      <c r="N99">
        <v>0</v>
      </c>
      <c r="O99">
        <v>39</v>
      </c>
    </row>
    <row r="100" spans="1:15" x14ac:dyDescent="0.25">
      <c r="A100" t="s">
        <v>18</v>
      </c>
      <c r="B100">
        <v>15</v>
      </c>
      <c r="C100">
        <v>2</v>
      </c>
      <c r="D100">
        <v>76</v>
      </c>
      <c r="E100">
        <v>34</v>
      </c>
      <c r="F100">
        <v>2278</v>
      </c>
      <c r="G100">
        <v>5000</v>
      </c>
      <c r="H100">
        <v>12.5</v>
      </c>
      <c r="I100">
        <v>5</v>
      </c>
      <c r="J100">
        <v>78</v>
      </c>
      <c r="K100">
        <v>19.230769230769202</v>
      </c>
      <c r="L100">
        <v>15.865384615384601</v>
      </c>
      <c r="M100">
        <v>39.394230769230703</v>
      </c>
      <c r="N100">
        <v>1.07884615384615</v>
      </c>
      <c r="O100">
        <v>38</v>
      </c>
    </row>
    <row r="101" spans="1:15" x14ac:dyDescent="0.25">
      <c r="A101" t="s">
        <v>18</v>
      </c>
      <c r="B101">
        <v>15</v>
      </c>
      <c r="C101">
        <v>3</v>
      </c>
      <c r="D101">
        <v>79</v>
      </c>
      <c r="E101">
        <v>34</v>
      </c>
      <c r="F101">
        <v>2404</v>
      </c>
      <c r="G101">
        <v>5000</v>
      </c>
      <c r="H101">
        <v>12.5</v>
      </c>
      <c r="I101">
        <v>5</v>
      </c>
      <c r="J101">
        <v>78</v>
      </c>
      <c r="K101">
        <v>19.230769230769202</v>
      </c>
      <c r="L101">
        <v>15.865384615384601</v>
      </c>
      <c r="M101">
        <v>39.394230769230703</v>
      </c>
      <c r="N101">
        <v>2.1576923076923</v>
      </c>
      <c r="O101">
        <v>37</v>
      </c>
    </row>
    <row r="102" spans="1:15" x14ac:dyDescent="0.25">
      <c r="A102" t="s">
        <v>18</v>
      </c>
      <c r="B102">
        <v>15</v>
      </c>
      <c r="C102">
        <v>4</v>
      </c>
      <c r="D102">
        <v>81</v>
      </c>
      <c r="E102">
        <v>34</v>
      </c>
      <c r="F102">
        <v>2555</v>
      </c>
      <c r="G102">
        <v>5000</v>
      </c>
      <c r="H102">
        <v>12.5</v>
      </c>
      <c r="I102">
        <v>5</v>
      </c>
      <c r="J102">
        <v>78</v>
      </c>
      <c r="K102">
        <v>19.230769230769202</v>
      </c>
      <c r="L102">
        <v>15.865384615384601</v>
      </c>
      <c r="M102">
        <v>39.394230769230703</v>
      </c>
      <c r="N102">
        <v>3.2365384615384598</v>
      </c>
      <c r="O102">
        <v>36</v>
      </c>
    </row>
    <row r="103" spans="1:15" x14ac:dyDescent="0.25">
      <c r="A103" t="s">
        <v>18</v>
      </c>
      <c r="B103">
        <v>15</v>
      </c>
      <c r="C103">
        <v>5</v>
      </c>
      <c r="D103">
        <v>99</v>
      </c>
      <c r="E103">
        <v>34</v>
      </c>
      <c r="F103">
        <v>3011</v>
      </c>
      <c r="G103">
        <v>5000</v>
      </c>
      <c r="H103">
        <v>12.5</v>
      </c>
      <c r="I103">
        <v>5</v>
      </c>
      <c r="J103">
        <v>78</v>
      </c>
      <c r="K103">
        <v>19.230769230769202</v>
      </c>
      <c r="L103">
        <v>15.865384615384601</v>
      </c>
      <c r="M103">
        <v>39.394230769230703</v>
      </c>
      <c r="N103">
        <v>0</v>
      </c>
      <c r="O103">
        <v>34</v>
      </c>
    </row>
    <row r="104" spans="1:15" x14ac:dyDescent="0.25">
      <c r="A104" t="s">
        <v>18</v>
      </c>
      <c r="B104">
        <v>15</v>
      </c>
      <c r="C104">
        <v>6</v>
      </c>
      <c r="D104">
        <v>100</v>
      </c>
      <c r="E104">
        <v>34</v>
      </c>
      <c r="F104">
        <v>3045</v>
      </c>
      <c r="G104">
        <v>5000</v>
      </c>
      <c r="H104">
        <v>12.5</v>
      </c>
      <c r="I104">
        <v>5</v>
      </c>
      <c r="J104">
        <v>78</v>
      </c>
      <c r="K104">
        <v>19.230769230769202</v>
      </c>
      <c r="L104">
        <v>15.865384615384601</v>
      </c>
      <c r="M104">
        <v>39.394230769230703</v>
      </c>
      <c r="N104">
        <v>0</v>
      </c>
      <c r="O104">
        <v>34</v>
      </c>
    </row>
    <row r="105" spans="1:15" x14ac:dyDescent="0.25">
      <c r="A105" t="s">
        <v>18</v>
      </c>
      <c r="B105">
        <v>15</v>
      </c>
      <c r="C105">
        <v>7</v>
      </c>
      <c r="D105">
        <v>118</v>
      </c>
      <c r="E105">
        <v>34</v>
      </c>
      <c r="F105">
        <v>3964</v>
      </c>
      <c r="G105">
        <v>5000</v>
      </c>
      <c r="H105">
        <v>12.5</v>
      </c>
      <c r="I105">
        <v>5</v>
      </c>
      <c r="J105">
        <v>78</v>
      </c>
      <c r="K105">
        <v>19.230769230769202</v>
      </c>
      <c r="L105">
        <v>15.865384615384601</v>
      </c>
      <c r="M105">
        <v>39.394230769230703</v>
      </c>
      <c r="N105">
        <v>0</v>
      </c>
      <c r="O105">
        <v>34</v>
      </c>
    </row>
    <row r="106" spans="1:15" x14ac:dyDescent="0.25">
      <c r="A106" t="s">
        <v>18</v>
      </c>
      <c r="B106">
        <v>16</v>
      </c>
      <c r="C106">
        <v>1</v>
      </c>
      <c r="D106">
        <v>84</v>
      </c>
      <c r="E106">
        <v>20</v>
      </c>
      <c r="F106">
        <v>2679</v>
      </c>
      <c r="G106">
        <v>5000</v>
      </c>
      <c r="H106">
        <v>12.5</v>
      </c>
      <c r="I106">
        <v>5</v>
      </c>
      <c r="J106">
        <v>78</v>
      </c>
      <c r="K106">
        <v>20.5128205128205</v>
      </c>
      <c r="L106">
        <v>16.506410256410199</v>
      </c>
      <c r="M106">
        <v>23.301282051282001</v>
      </c>
      <c r="N106">
        <v>0</v>
      </c>
      <c r="O106">
        <v>23</v>
      </c>
    </row>
    <row r="107" spans="1:15" x14ac:dyDescent="0.25">
      <c r="A107" t="s">
        <v>18</v>
      </c>
      <c r="B107">
        <v>16</v>
      </c>
      <c r="C107">
        <v>2</v>
      </c>
      <c r="D107">
        <v>85</v>
      </c>
      <c r="E107">
        <v>20</v>
      </c>
      <c r="F107">
        <v>2702</v>
      </c>
      <c r="G107">
        <v>5000</v>
      </c>
      <c r="H107">
        <v>12.5</v>
      </c>
      <c r="I107">
        <v>5</v>
      </c>
      <c r="J107">
        <v>78</v>
      </c>
      <c r="K107">
        <v>20.5128205128205</v>
      </c>
      <c r="L107">
        <v>16.506410256410199</v>
      </c>
      <c r="M107">
        <v>23.301282051282001</v>
      </c>
      <c r="N107">
        <v>0.66025641025641002</v>
      </c>
      <c r="O107">
        <v>23</v>
      </c>
    </row>
    <row r="108" spans="1:15" x14ac:dyDescent="0.25">
      <c r="A108" t="s">
        <v>18</v>
      </c>
      <c r="B108">
        <v>16</v>
      </c>
      <c r="C108">
        <v>3</v>
      </c>
      <c r="D108">
        <v>88</v>
      </c>
      <c r="E108">
        <v>20</v>
      </c>
      <c r="F108">
        <v>2811</v>
      </c>
      <c r="G108">
        <v>5000</v>
      </c>
      <c r="H108">
        <v>12.5</v>
      </c>
      <c r="I108">
        <v>5</v>
      </c>
      <c r="J108">
        <v>78</v>
      </c>
      <c r="K108">
        <v>20.5128205128205</v>
      </c>
      <c r="L108">
        <v>16.506410256410199</v>
      </c>
      <c r="M108">
        <v>23.301282051282001</v>
      </c>
      <c r="N108">
        <v>1.32051282051282</v>
      </c>
      <c r="O108">
        <v>22</v>
      </c>
    </row>
    <row r="109" spans="1:15" x14ac:dyDescent="0.25">
      <c r="A109" t="s">
        <v>18</v>
      </c>
      <c r="B109">
        <v>16</v>
      </c>
      <c r="C109">
        <v>4</v>
      </c>
      <c r="D109">
        <v>89</v>
      </c>
      <c r="E109">
        <v>20</v>
      </c>
      <c r="F109">
        <v>2833</v>
      </c>
      <c r="G109">
        <v>5000</v>
      </c>
      <c r="H109">
        <v>12.5</v>
      </c>
      <c r="I109">
        <v>5</v>
      </c>
      <c r="J109">
        <v>78</v>
      </c>
      <c r="K109">
        <v>20.5128205128205</v>
      </c>
      <c r="L109">
        <v>16.506410256410199</v>
      </c>
      <c r="M109">
        <v>23.301282051282001</v>
      </c>
      <c r="N109">
        <v>1.9807692307692299</v>
      </c>
      <c r="O109">
        <v>22</v>
      </c>
    </row>
    <row r="110" spans="1:15" x14ac:dyDescent="0.25">
      <c r="A110" t="s">
        <v>18</v>
      </c>
      <c r="B110">
        <v>16</v>
      </c>
      <c r="C110">
        <v>5</v>
      </c>
      <c r="D110">
        <v>90</v>
      </c>
      <c r="E110">
        <v>20</v>
      </c>
      <c r="F110">
        <v>2855</v>
      </c>
      <c r="G110">
        <v>5000</v>
      </c>
      <c r="H110">
        <v>12.5</v>
      </c>
      <c r="I110">
        <v>5</v>
      </c>
      <c r="J110">
        <v>78</v>
      </c>
      <c r="K110">
        <v>20.5128205128205</v>
      </c>
      <c r="L110">
        <v>16.506410256410199</v>
      </c>
      <c r="M110">
        <v>23.301282051282001</v>
      </c>
      <c r="N110">
        <v>0</v>
      </c>
      <c r="O110">
        <v>20</v>
      </c>
    </row>
    <row r="111" spans="1:15" x14ac:dyDescent="0.25">
      <c r="A111" t="s">
        <v>18</v>
      </c>
      <c r="B111">
        <v>16</v>
      </c>
      <c r="C111">
        <v>6</v>
      </c>
      <c r="D111">
        <v>91</v>
      </c>
      <c r="E111">
        <v>20</v>
      </c>
      <c r="F111">
        <v>2875</v>
      </c>
      <c r="G111">
        <v>5000</v>
      </c>
      <c r="H111">
        <v>12.5</v>
      </c>
      <c r="I111">
        <v>5</v>
      </c>
      <c r="J111">
        <v>78</v>
      </c>
      <c r="K111">
        <v>20.5128205128205</v>
      </c>
      <c r="L111">
        <v>16.506410256410199</v>
      </c>
      <c r="M111">
        <v>23.301282051282001</v>
      </c>
      <c r="N111">
        <v>0</v>
      </c>
      <c r="O111">
        <v>20</v>
      </c>
    </row>
    <row r="112" spans="1:15" x14ac:dyDescent="0.25">
      <c r="A112" t="s">
        <v>18</v>
      </c>
      <c r="B112">
        <v>16</v>
      </c>
      <c r="C112">
        <v>7</v>
      </c>
      <c r="D112">
        <v>92</v>
      </c>
      <c r="E112">
        <v>20</v>
      </c>
      <c r="F112">
        <v>2895</v>
      </c>
      <c r="G112">
        <v>5000</v>
      </c>
      <c r="H112">
        <v>12.5</v>
      </c>
      <c r="I112">
        <v>5</v>
      </c>
      <c r="J112">
        <v>78</v>
      </c>
      <c r="K112">
        <v>20.5128205128205</v>
      </c>
      <c r="L112">
        <v>16.506410256410199</v>
      </c>
      <c r="M112">
        <v>23.301282051282001</v>
      </c>
      <c r="N112">
        <v>0</v>
      </c>
      <c r="O112">
        <v>20</v>
      </c>
    </row>
    <row r="113" spans="1:15" x14ac:dyDescent="0.25">
      <c r="A113" t="s">
        <v>18</v>
      </c>
      <c r="B113">
        <v>16</v>
      </c>
      <c r="C113">
        <v>8</v>
      </c>
      <c r="D113">
        <v>93</v>
      </c>
      <c r="E113">
        <v>20</v>
      </c>
      <c r="F113">
        <v>2915</v>
      </c>
      <c r="G113">
        <v>5000</v>
      </c>
      <c r="H113">
        <v>12.5</v>
      </c>
      <c r="I113">
        <v>5</v>
      </c>
      <c r="J113">
        <v>78</v>
      </c>
      <c r="K113">
        <v>20.5128205128205</v>
      </c>
      <c r="L113">
        <v>16.506410256410199</v>
      </c>
      <c r="M113">
        <v>23.301282051282001</v>
      </c>
      <c r="N113">
        <v>0</v>
      </c>
      <c r="O113">
        <v>20</v>
      </c>
    </row>
    <row r="114" spans="1:15" x14ac:dyDescent="0.25">
      <c r="A114" t="s">
        <v>18</v>
      </c>
      <c r="B114">
        <v>16</v>
      </c>
      <c r="C114">
        <v>9</v>
      </c>
      <c r="D114">
        <v>94</v>
      </c>
      <c r="E114">
        <v>20</v>
      </c>
      <c r="F114">
        <v>2935</v>
      </c>
      <c r="G114">
        <v>5000</v>
      </c>
      <c r="H114">
        <v>12.5</v>
      </c>
      <c r="I114">
        <v>5</v>
      </c>
      <c r="J114">
        <v>78</v>
      </c>
      <c r="K114">
        <v>20.5128205128205</v>
      </c>
      <c r="L114">
        <v>16.506410256410199</v>
      </c>
      <c r="M114">
        <v>23.301282051282001</v>
      </c>
      <c r="N114">
        <v>0</v>
      </c>
      <c r="O114">
        <v>20</v>
      </c>
    </row>
    <row r="115" spans="1:15" x14ac:dyDescent="0.25">
      <c r="A115" t="s">
        <v>18</v>
      </c>
      <c r="B115">
        <v>16</v>
      </c>
      <c r="C115">
        <v>10</v>
      </c>
      <c r="D115">
        <v>95</v>
      </c>
      <c r="E115">
        <v>20</v>
      </c>
      <c r="F115">
        <v>2955</v>
      </c>
      <c r="G115">
        <v>5000</v>
      </c>
      <c r="H115">
        <v>12.5</v>
      </c>
      <c r="I115">
        <v>5</v>
      </c>
      <c r="J115">
        <v>78</v>
      </c>
      <c r="K115">
        <v>20.5128205128205</v>
      </c>
      <c r="L115">
        <v>16.506410256410199</v>
      </c>
      <c r="M115">
        <v>23.301282051282001</v>
      </c>
      <c r="N115">
        <v>0</v>
      </c>
      <c r="O115">
        <v>20</v>
      </c>
    </row>
    <row r="116" spans="1:15" x14ac:dyDescent="0.25">
      <c r="A116" t="s">
        <v>18</v>
      </c>
      <c r="B116">
        <v>16</v>
      </c>
      <c r="C116">
        <v>11</v>
      </c>
      <c r="D116">
        <v>96</v>
      </c>
      <c r="E116">
        <v>20</v>
      </c>
      <c r="F116">
        <v>2975</v>
      </c>
      <c r="G116">
        <v>5000</v>
      </c>
      <c r="H116">
        <v>12.5</v>
      </c>
      <c r="I116">
        <v>5</v>
      </c>
      <c r="J116">
        <v>78</v>
      </c>
      <c r="K116">
        <v>20.5128205128205</v>
      </c>
      <c r="L116">
        <v>16.506410256410199</v>
      </c>
      <c r="M116">
        <v>23.301282051282001</v>
      </c>
      <c r="N116">
        <v>7.0958333333333297</v>
      </c>
      <c r="O116">
        <v>12</v>
      </c>
    </row>
    <row r="117" spans="1:15" x14ac:dyDescent="0.25">
      <c r="A117" t="s">
        <v>18</v>
      </c>
      <c r="B117">
        <v>16</v>
      </c>
      <c r="C117">
        <v>12</v>
      </c>
      <c r="D117">
        <v>97</v>
      </c>
      <c r="E117">
        <v>20</v>
      </c>
      <c r="F117">
        <v>2987</v>
      </c>
      <c r="G117">
        <v>5000</v>
      </c>
      <c r="H117">
        <v>12.5</v>
      </c>
      <c r="I117">
        <v>5</v>
      </c>
      <c r="J117">
        <v>78</v>
      </c>
      <c r="K117">
        <v>20.5128205128205</v>
      </c>
      <c r="L117">
        <v>16.506410256410199</v>
      </c>
      <c r="M117">
        <v>23.301282051282001</v>
      </c>
      <c r="N117">
        <v>7.2111134020618497</v>
      </c>
      <c r="O117">
        <v>12</v>
      </c>
    </row>
    <row r="118" spans="1:15" x14ac:dyDescent="0.25">
      <c r="A118" t="s">
        <v>18</v>
      </c>
      <c r="B118">
        <v>16</v>
      </c>
      <c r="C118">
        <v>13</v>
      </c>
      <c r="D118">
        <v>98</v>
      </c>
      <c r="E118">
        <v>20</v>
      </c>
      <c r="F118">
        <v>2999</v>
      </c>
      <c r="G118">
        <v>5000</v>
      </c>
      <c r="H118">
        <v>12.5</v>
      </c>
      <c r="I118">
        <v>5</v>
      </c>
      <c r="J118">
        <v>78</v>
      </c>
      <c r="K118">
        <v>20.5128205128205</v>
      </c>
      <c r="L118">
        <v>16.506410256410199</v>
      </c>
      <c r="M118">
        <v>23.301282051282001</v>
      </c>
      <c r="N118">
        <v>7.3245306122448897</v>
      </c>
      <c r="O118">
        <v>12</v>
      </c>
    </row>
    <row r="119" spans="1:15" x14ac:dyDescent="0.25">
      <c r="A119" t="s">
        <v>18</v>
      </c>
      <c r="B119">
        <v>16</v>
      </c>
      <c r="C119">
        <v>14</v>
      </c>
      <c r="D119">
        <v>107</v>
      </c>
      <c r="E119">
        <v>20</v>
      </c>
      <c r="F119">
        <v>3784</v>
      </c>
      <c r="G119">
        <v>5000</v>
      </c>
      <c r="H119">
        <v>12.5</v>
      </c>
      <c r="I119">
        <v>5</v>
      </c>
      <c r="J119">
        <v>78</v>
      </c>
      <c r="K119">
        <v>20.5128205128205</v>
      </c>
      <c r="L119">
        <v>16.506410256410199</v>
      </c>
      <c r="M119">
        <v>23.301282051282001</v>
      </c>
      <c r="N119">
        <v>8.8764112149532703</v>
      </c>
      <c r="O119">
        <v>11</v>
      </c>
    </row>
    <row r="120" spans="1:15" x14ac:dyDescent="0.25">
      <c r="A120" t="s">
        <v>18</v>
      </c>
      <c r="B120">
        <v>16</v>
      </c>
      <c r="C120">
        <v>15</v>
      </c>
      <c r="D120">
        <v>108</v>
      </c>
      <c r="E120">
        <v>20</v>
      </c>
      <c r="F120">
        <v>3795</v>
      </c>
      <c r="G120">
        <v>5000</v>
      </c>
      <c r="H120">
        <v>12.5</v>
      </c>
      <c r="I120">
        <v>5</v>
      </c>
      <c r="J120">
        <v>78</v>
      </c>
      <c r="K120">
        <v>20.5128205128205</v>
      </c>
      <c r="L120">
        <v>16.506410256410199</v>
      </c>
      <c r="M120">
        <v>23.301282051282001</v>
      </c>
      <c r="N120">
        <v>8.9788888888888891</v>
      </c>
      <c r="O120">
        <v>11</v>
      </c>
    </row>
    <row r="121" spans="1:15" x14ac:dyDescent="0.25">
      <c r="A121" t="s">
        <v>18</v>
      </c>
      <c r="B121">
        <v>16</v>
      </c>
      <c r="C121">
        <v>16</v>
      </c>
      <c r="D121">
        <v>109</v>
      </c>
      <c r="E121">
        <v>20</v>
      </c>
      <c r="F121">
        <v>3806</v>
      </c>
      <c r="G121">
        <v>5000</v>
      </c>
      <c r="H121">
        <v>12.5</v>
      </c>
      <c r="I121">
        <v>5</v>
      </c>
      <c r="J121">
        <v>78</v>
      </c>
      <c r="K121">
        <v>20.5128205128205</v>
      </c>
      <c r="L121">
        <v>16.506410256410199</v>
      </c>
      <c r="M121">
        <v>23.301282051282001</v>
      </c>
      <c r="N121">
        <v>9.0798899082568791</v>
      </c>
      <c r="O121">
        <v>10</v>
      </c>
    </row>
    <row r="122" spans="1:15" x14ac:dyDescent="0.25">
      <c r="A122" t="s">
        <v>18</v>
      </c>
      <c r="B122">
        <v>16</v>
      </c>
      <c r="C122">
        <v>17</v>
      </c>
      <c r="D122">
        <v>110</v>
      </c>
      <c r="E122">
        <v>20</v>
      </c>
      <c r="F122">
        <v>3816</v>
      </c>
      <c r="G122">
        <v>5000</v>
      </c>
      <c r="H122">
        <v>12.5</v>
      </c>
      <c r="I122">
        <v>5</v>
      </c>
      <c r="J122">
        <v>78</v>
      </c>
      <c r="K122">
        <v>20.5128205128205</v>
      </c>
      <c r="L122">
        <v>16.506410256410199</v>
      </c>
      <c r="M122">
        <v>23.301282051282001</v>
      </c>
      <c r="N122">
        <v>9.1774545454545393</v>
      </c>
      <c r="O122">
        <v>10</v>
      </c>
    </row>
    <row r="123" spans="1:15" x14ac:dyDescent="0.25">
      <c r="A123" t="s">
        <v>18</v>
      </c>
      <c r="B123">
        <v>16</v>
      </c>
      <c r="C123">
        <v>18</v>
      </c>
      <c r="D123">
        <v>111</v>
      </c>
      <c r="E123">
        <v>20</v>
      </c>
      <c r="F123">
        <v>3826</v>
      </c>
      <c r="G123">
        <v>5000</v>
      </c>
      <c r="H123">
        <v>12.5</v>
      </c>
      <c r="I123">
        <v>5</v>
      </c>
      <c r="J123">
        <v>78</v>
      </c>
      <c r="K123">
        <v>20.5128205128205</v>
      </c>
      <c r="L123">
        <v>16.506410256410199</v>
      </c>
      <c r="M123">
        <v>23.301282051282001</v>
      </c>
      <c r="N123">
        <v>9.2736216216216203</v>
      </c>
      <c r="O123">
        <v>10</v>
      </c>
    </row>
    <row r="124" spans="1:15" x14ac:dyDescent="0.25">
      <c r="A124" t="s">
        <v>18</v>
      </c>
      <c r="B124">
        <v>16</v>
      </c>
      <c r="C124">
        <v>19</v>
      </c>
      <c r="D124">
        <v>112</v>
      </c>
      <c r="E124">
        <v>20</v>
      </c>
      <c r="F124">
        <v>3836</v>
      </c>
      <c r="G124">
        <v>5000</v>
      </c>
      <c r="H124">
        <v>12.5</v>
      </c>
      <c r="I124">
        <v>5</v>
      </c>
      <c r="J124">
        <v>78</v>
      </c>
      <c r="K124">
        <v>20.5128205128205</v>
      </c>
      <c r="L124">
        <v>16.506410256410199</v>
      </c>
      <c r="M124">
        <v>23.301282051282001</v>
      </c>
      <c r="N124">
        <v>9.36842857142857</v>
      </c>
      <c r="O124">
        <v>10</v>
      </c>
    </row>
    <row r="125" spans="1:15" x14ac:dyDescent="0.25">
      <c r="A125" t="s">
        <v>18</v>
      </c>
      <c r="B125">
        <v>16</v>
      </c>
      <c r="C125">
        <v>20</v>
      </c>
      <c r="D125">
        <v>113</v>
      </c>
      <c r="E125">
        <v>20</v>
      </c>
      <c r="F125">
        <v>3846</v>
      </c>
      <c r="G125">
        <v>5000</v>
      </c>
      <c r="H125">
        <v>12.5</v>
      </c>
      <c r="I125">
        <v>5</v>
      </c>
      <c r="J125">
        <v>78</v>
      </c>
      <c r="K125">
        <v>20.5128205128205</v>
      </c>
      <c r="L125">
        <v>16.506410256410199</v>
      </c>
      <c r="M125">
        <v>23.301282051282001</v>
      </c>
      <c r="N125">
        <v>9.4619115044247692</v>
      </c>
      <c r="O125">
        <v>10</v>
      </c>
    </row>
    <row r="126" spans="1:15" x14ac:dyDescent="0.25">
      <c r="A126" t="s">
        <v>18</v>
      </c>
      <c r="B126">
        <v>16</v>
      </c>
      <c r="C126">
        <v>21</v>
      </c>
      <c r="D126">
        <v>114</v>
      </c>
      <c r="E126">
        <v>20</v>
      </c>
      <c r="F126">
        <v>3856</v>
      </c>
      <c r="G126">
        <v>5000</v>
      </c>
      <c r="H126">
        <v>12.5</v>
      </c>
      <c r="I126">
        <v>5</v>
      </c>
      <c r="J126">
        <v>78</v>
      </c>
      <c r="K126">
        <v>20.5128205128205</v>
      </c>
      <c r="L126">
        <v>16.506410256410199</v>
      </c>
      <c r="M126">
        <v>23.301282051282001</v>
      </c>
      <c r="N126">
        <v>9.55410526315789</v>
      </c>
      <c r="O126">
        <v>10</v>
      </c>
    </row>
    <row r="127" spans="1:15" x14ac:dyDescent="0.25">
      <c r="A127" t="s">
        <v>18</v>
      </c>
      <c r="B127">
        <v>16</v>
      </c>
      <c r="C127">
        <v>22</v>
      </c>
      <c r="D127">
        <v>115</v>
      </c>
      <c r="E127">
        <v>20</v>
      </c>
      <c r="F127">
        <v>3866</v>
      </c>
      <c r="G127">
        <v>5000</v>
      </c>
      <c r="H127">
        <v>12.5</v>
      </c>
      <c r="I127">
        <v>5</v>
      </c>
      <c r="J127">
        <v>78</v>
      </c>
      <c r="K127">
        <v>20.5128205128205</v>
      </c>
      <c r="L127">
        <v>16.506410256410199</v>
      </c>
      <c r="M127">
        <v>23.301282051282001</v>
      </c>
      <c r="N127">
        <v>9.6450434782608703</v>
      </c>
      <c r="O127">
        <v>10</v>
      </c>
    </row>
    <row r="128" spans="1:15" x14ac:dyDescent="0.25">
      <c r="A128" t="s">
        <v>21</v>
      </c>
      <c r="B128">
        <v>1</v>
      </c>
      <c r="C128">
        <v>1</v>
      </c>
      <c r="D128">
        <v>1</v>
      </c>
      <c r="E128">
        <v>4</v>
      </c>
      <c r="F128">
        <v>64</v>
      </c>
      <c r="G128">
        <v>5000</v>
      </c>
      <c r="H128">
        <v>12.5</v>
      </c>
      <c r="I128">
        <v>5</v>
      </c>
      <c r="J128">
        <v>78</v>
      </c>
      <c r="K128">
        <v>1.2820512820512799</v>
      </c>
      <c r="L128">
        <v>6.8910256410256396</v>
      </c>
      <c r="M128">
        <v>4.2756410256410202</v>
      </c>
      <c r="N128">
        <v>0</v>
      </c>
      <c r="O128">
        <v>4</v>
      </c>
    </row>
    <row r="129" spans="1:15" x14ac:dyDescent="0.25">
      <c r="A129" t="s">
        <v>21</v>
      </c>
      <c r="B129">
        <v>1</v>
      </c>
      <c r="C129">
        <v>2</v>
      </c>
      <c r="D129">
        <v>2</v>
      </c>
      <c r="E129">
        <v>4</v>
      </c>
      <c r="F129">
        <v>68</v>
      </c>
      <c r="G129">
        <v>5000</v>
      </c>
      <c r="H129">
        <v>12.5</v>
      </c>
      <c r="I129">
        <v>5</v>
      </c>
      <c r="J129">
        <v>78</v>
      </c>
      <c r="K129">
        <v>1.2820512820512799</v>
      </c>
      <c r="L129">
        <v>6.8910256410256396</v>
      </c>
      <c r="M129">
        <v>4.2756410256410202</v>
      </c>
      <c r="N129">
        <v>5.5128205128205099E-2</v>
      </c>
      <c r="O129">
        <v>4</v>
      </c>
    </row>
    <row r="130" spans="1:15" x14ac:dyDescent="0.25">
      <c r="A130" t="s">
        <v>21</v>
      </c>
      <c r="B130">
        <v>1</v>
      </c>
      <c r="C130">
        <v>3</v>
      </c>
      <c r="D130">
        <v>3</v>
      </c>
      <c r="E130">
        <v>4</v>
      </c>
      <c r="F130">
        <v>72</v>
      </c>
      <c r="G130">
        <v>5000</v>
      </c>
      <c r="H130">
        <v>12.5</v>
      </c>
      <c r="I130">
        <v>5</v>
      </c>
      <c r="J130">
        <v>78</v>
      </c>
      <c r="K130">
        <v>1.2820512820512799</v>
      </c>
      <c r="L130">
        <v>6.8910256410256396</v>
      </c>
      <c r="M130">
        <v>4.2756410256410202</v>
      </c>
      <c r="N130">
        <v>0.11025641025641</v>
      </c>
      <c r="O130">
        <v>4</v>
      </c>
    </row>
    <row r="131" spans="1:15" x14ac:dyDescent="0.25">
      <c r="A131" t="s">
        <v>21</v>
      </c>
      <c r="B131">
        <v>1</v>
      </c>
      <c r="C131">
        <v>4</v>
      </c>
      <c r="D131">
        <v>4</v>
      </c>
      <c r="E131">
        <v>4</v>
      </c>
      <c r="F131">
        <v>76</v>
      </c>
      <c r="G131">
        <v>5000</v>
      </c>
      <c r="H131">
        <v>12.5</v>
      </c>
      <c r="I131">
        <v>5</v>
      </c>
      <c r="J131">
        <v>78</v>
      </c>
      <c r="K131">
        <v>1.2820512820512799</v>
      </c>
      <c r="L131">
        <v>6.8910256410256396</v>
      </c>
      <c r="M131">
        <v>4.2756410256410202</v>
      </c>
      <c r="N131">
        <v>0.16538461538461499</v>
      </c>
      <c r="O131">
        <v>4</v>
      </c>
    </row>
    <row r="132" spans="1:15" x14ac:dyDescent="0.25">
      <c r="A132" t="s">
        <v>21</v>
      </c>
      <c r="B132">
        <v>1</v>
      </c>
      <c r="C132">
        <v>5</v>
      </c>
      <c r="D132">
        <v>5</v>
      </c>
      <c r="E132">
        <v>4</v>
      </c>
      <c r="F132">
        <v>80</v>
      </c>
      <c r="G132">
        <v>5000</v>
      </c>
      <c r="H132">
        <v>12.5</v>
      </c>
      <c r="I132">
        <v>5</v>
      </c>
      <c r="J132">
        <v>78</v>
      </c>
      <c r="K132">
        <v>1.2820512820512799</v>
      </c>
      <c r="L132">
        <v>6.8910256410256396</v>
      </c>
      <c r="M132">
        <v>4.2756410256410202</v>
      </c>
      <c r="N132">
        <v>0</v>
      </c>
      <c r="O132">
        <v>4</v>
      </c>
    </row>
    <row r="133" spans="1:15" x14ac:dyDescent="0.25">
      <c r="A133" t="s">
        <v>21</v>
      </c>
      <c r="B133">
        <v>1</v>
      </c>
      <c r="C133">
        <v>6</v>
      </c>
      <c r="D133">
        <v>8</v>
      </c>
      <c r="E133">
        <v>4</v>
      </c>
      <c r="F133">
        <v>94</v>
      </c>
      <c r="G133">
        <v>5000</v>
      </c>
      <c r="H133">
        <v>12.5</v>
      </c>
      <c r="I133">
        <v>5</v>
      </c>
      <c r="J133">
        <v>78</v>
      </c>
      <c r="K133">
        <v>1.2820512820512799</v>
      </c>
      <c r="L133">
        <v>6.8910256410256396</v>
      </c>
      <c r="M133">
        <v>4.2756410256410202</v>
      </c>
      <c r="N133">
        <v>0</v>
      </c>
      <c r="O133">
        <v>4</v>
      </c>
    </row>
    <row r="134" spans="1:15" x14ac:dyDescent="0.25">
      <c r="A134" t="s">
        <v>21</v>
      </c>
      <c r="B134">
        <v>1</v>
      </c>
      <c r="C134">
        <v>7</v>
      </c>
      <c r="D134">
        <v>9</v>
      </c>
      <c r="E134">
        <v>4</v>
      </c>
      <c r="F134">
        <v>98</v>
      </c>
      <c r="G134">
        <v>5000</v>
      </c>
      <c r="H134">
        <v>12.5</v>
      </c>
      <c r="I134">
        <v>5</v>
      </c>
      <c r="J134">
        <v>78</v>
      </c>
      <c r="K134">
        <v>1.2820512820512799</v>
      </c>
      <c r="L134">
        <v>6.8910256410256396</v>
      </c>
      <c r="M134">
        <v>4.2756410256410202</v>
      </c>
      <c r="N134">
        <v>0</v>
      </c>
      <c r="O134">
        <v>4</v>
      </c>
    </row>
    <row r="135" spans="1:15" x14ac:dyDescent="0.25">
      <c r="A135" t="s">
        <v>21</v>
      </c>
      <c r="B135">
        <v>1</v>
      </c>
      <c r="C135">
        <v>8</v>
      </c>
      <c r="D135">
        <v>10</v>
      </c>
      <c r="E135">
        <v>4</v>
      </c>
      <c r="F135">
        <v>102</v>
      </c>
      <c r="G135">
        <v>5000</v>
      </c>
      <c r="H135">
        <v>12.5</v>
      </c>
      <c r="I135">
        <v>5</v>
      </c>
      <c r="J135">
        <v>78</v>
      </c>
      <c r="K135">
        <v>1.2820512820512799</v>
      </c>
      <c r="L135">
        <v>6.8910256410256396</v>
      </c>
      <c r="M135">
        <v>4.2756410256410202</v>
      </c>
      <c r="N135">
        <v>0</v>
      </c>
      <c r="O135">
        <v>4</v>
      </c>
    </row>
    <row r="136" spans="1:15" x14ac:dyDescent="0.25">
      <c r="A136" t="s">
        <v>21</v>
      </c>
      <c r="B136">
        <v>1</v>
      </c>
      <c r="C136">
        <v>9</v>
      </c>
      <c r="D136">
        <v>11</v>
      </c>
      <c r="E136">
        <v>4</v>
      </c>
      <c r="F136">
        <v>106</v>
      </c>
      <c r="G136">
        <v>5000</v>
      </c>
      <c r="H136">
        <v>12.5</v>
      </c>
      <c r="I136">
        <v>5</v>
      </c>
      <c r="J136">
        <v>78</v>
      </c>
      <c r="K136">
        <v>1.2820512820512799</v>
      </c>
      <c r="L136">
        <v>6.8910256410256396</v>
      </c>
      <c r="M136">
        <v>4.2756410256410202</v>
      </c>
      <c r="N136">
        <v>0</v>
      </c>
      <c r="O136">
        <v>4</v>
      </c>
    </row>
    <row r="137" spans="1:15" x14ac:dyDescent="0.25">
      <c r="A137" t="s">
        <v>21</v>
      </c>
      <c r="B137">
        <v>2</v>
      </c>
      <c r="C137">
        <v>1</v>
      </c>
      <c r="D137">
        <v>6</v>
      </c>
      <c r="E137">
        <v>5</v>
      </c>
      <c r="F137">
        <v>84</v>
      </c>
      <c r="G137">
        <v>5000</v>
      </c>
      <c r="H137">
        <v>12.5</v>
      </c>
      <c r="I137">
        <v>5</v>
      </c>
      <c r="J137">
        <v>78</v>
      </c>
      <c r="K137">
        <v>2.5641025641025599</v>
      </c>
      <c r="L137">
        <v>7.5320512820512802</v>
      </c>
      <c r="M137">
        <v>5.3766025641025603</v>
      </c>
      <c r="N137">
        <v>0</v>
      </c>
      <c r="O137">
        <v>5</v>
      </c>
    </row>
    <row r="138" spans="1:15" x14ac:dyDescent="0.25">
      <c r="A138" t="s">
        <v>21</v>
      </c>
      <c r="B138">
        <v>2</v>
      </c>
      <c r="C138">
        <v>2</v>
      </c>
      <c r="D138">
        <v>7</v>
      </c>
      <c r="E138">
        <v>5</v>
      </c>
      <c r="F138">
        <v>89</v>
      </c>
      <c r="G138">
        <v>5000</v>
      </c>
      <c r="H138">
        <v>12.5</v>
      </c>
      <c r="I138">
        <v>5</v>
      </c>
      <c r="J138">
        <v>78</v>
      </c>
      <c r="K138">
        <v>2.5641025641025599</v>
      </c>
      <c r="L138">
        <v>7.5320512820512802</v>
      </c>
      <c r="M138">
        <v>5.3766025641025603</v>
      </c>
      <c r="N138">
        <v>7.5320512820512706E-2</v>
      </c>
      <c r="O138">
        <v>5</v>
      </c>
    </row>
    <row r="139" spans="1:15" x14ac:dyDescent="0.25">
      <c r="A139" t="s">
        <v>21</v>
      </c>
      <c r="B139">
        <v>2</v>
      </c>
      <c r="C139">
        <v>3</v>
      </c>
      <c r="D139">
        <v>12</v>
      </c>
      <c r="E139">
        <v>5</v>
      </c>
      <c r="F139">
        <v>110</v>
      </c>
      <c r="G139">
        <v>5000</v>
      </c>
      <c r="H139">
        <v>12.5</v>
      </c>
      <c r="I139">
        <v>5</v>
      </c>
      <c r="J139">
        <v>78</v>
      </c>
      <c r="K139">
        <v>2.5641025641025599</v>
      </c>
      <c r="L139">
        <v>7.5320512820512802</v>
      </c>
      <c r="M139">
        <v>5.3766025641025603</v>
      </c>
      <c r="N139">
        <v>0.15064102564102499</v>
      </c>
      <c r="O139">
        <v>5</v>
      </c>
    </row>
    <row r="140" spans="1:15" x14ac:dyDescent="0.25">
      <c r="A140" t="s">
        <v>21</v>
      </c>
      <c r="B140">
        <v>2</v>
      </c>
      <c r="C140">
        <v>4</v>
      </c>
      <c r="D140">
        <v>13</v>
      </c>
      <c r="E140">
        <v>5</v>
      </c>
      <c r="F140">
        <v>115</v>
      </c>
      <c r="G140">
        <v>5000</v>
      </c>
      <c r="H140">
        <v>12.5</v>
      </c>
      <c r="I140">
        <v>5</v>
      </c>
      <c r="J140">
        <v>78</v>
      </c>
      <c r="K140">
        <v>2.5641025641025599</v>
      </c>
      <c r="L140">
        <v>7.5320512820512802</v>
      </c>
      <c r="M140">
        <v>5.3766025641025603</v>
      </c>
      <c r="N140">
        <v>0.22596153846153799</v>
      </c>
      <c r="O140">
        <v>5</v>
      </c>
    </row>
    <row r="141" spans="1:15" x14ac:dyDescent="0.25">
      <c r="A141" t="s">
        <v>21</v>
      </c>
      <c r="B141">
        <v>2</v>
      </c>
      <c r="C141">
        <v>5</v>
      </c>
      <c r="D141">
        <v>29</v>
      </c>
      <c r="E141">
        <v>5</v>
      </c>
      <c r="F141">
        <v>1048</v>
      </c>
      <c r="G141">
        <v>5000</v>
      </c>
      <c r="H141">
        <v>12.5</v>
      </c>
      <c r="I141">
        <v>5</v>
      </c>
      <c r="J141">
        <v>78</v>
      </c>
      <c r="K141">
        <v>2.5641025641025599</v>
      </c>
      <c r="L141">
        <v>7.5320512820512802</v>
      </c>
      <c r="M141">
        <v>5.3766025641025603</v>
      </c>
      <c r="N141">
        <v>0</v>
      </c>
      <c r="O141">
        <v>5</v>
      </c>
    </row>
    <row r="142" spans="1:15" x14ac:dyDescent="0.25">
      <c r="A142" t="s">
        <v>21</v>
      </c>
      <c r="B142">
        <v>2</v>
      </c>
      <c r="C142">
        <v>6</v>
      </c>
      <c r="D142">
        <v>30</v>
      </c>
      <c r="E142">
        <v>5</v>
      </c>
      <c r="F142">
        <v>1053</v>
      </c>
      <c r="G142">
        <v>5000</v>
      </c>
      <c r="H142">
        <v>12.5</v>
      </c>
      <c r="I142">
        <v>5</v>
      </c>
      <c r="J142">
        <v>78</v>
      </c>
      <c r="K142">
        <v>2.5641025641025599</v>
      </c>
      <c r="L142">
        <v>7.5320512820512802</v>
      </c>
      <c r="M142">
        <v>5.3766025641025603</v>
      </c>
      <c r="N142">
        <v>0</v>
      </c>
      <c r="O142">
        <v>5</v>
      </c>
    </row>
    <row r="143" spans="1:15" x14ac:dyDescent="0.25">
      <c r="A143" t="s">
        <v>21</v>
      </c>
      <c r="B143">
        <v>3</v>
      </c>
      <c r="C143">
        <v>1</v>
      </c>
      <c r="D143">
        <v>14</v>
      </c>
      <c r="E143">
        <v>9</v>
      </c>
      <c r="F143">
        <v>120</v>
      </c>
      <c r="G143">
        <v>5000</v>
      </c>
      <c r="H143">
        <v>12.5</v>
      </c>
      <c r="I143">
        <v>5</v>
      </c>
      <c r="J143">
        <v>78</v>
      </c>
      <c r="K143">
        <v>3.84615384615384</v>
      </c>
      <c r="L143">
        <v>8.1730769230769198</v>
      </c>
      <c r="M143">
        <v>9.7355769230769198</v>
      </c>
      <c r="N143">
        <v>0</v>
      </c>
      <c r="O143">
        <v>9</v>
      </c>
    </row>
    <row r="144" spans="1:15" x14ac:dyDescent="0.25">
      <c r="A144" t="s">
        <v>21</v>
      </c>
      <c r="B144">
        <v>4</v>
      </c>
      <c r="C144">
        <v>1</v>
      </c>
      <c r="D144">
        <v>15</v>
      </c>
      <c r="E144">
        <v>66</v>
      </c>
      <c r="F144">
        <v>129</v>
      </c>
      <c r="G144">
        <v>5000</v>
      </c>
      <c r="H144">
        <v>12.5</v>
      </c>
      <c r="I144">
        <v>5</v>
      </c>
      <c r="J144">
        <v>78</v>
      </c>
      <c r="K144">
        <v>5.1282051282051198</v>
      </c>
      <c r="L144">
        <v>8.8141025641025603</v>
      </c>
      <c r="M144">
        <v>71.817307692307693</v>
      </c>
      <c r="N144">
        <v>0</v>
      </c>
      <c r="O144">
        <v>71</v>
      </c>
    </row>
    <row r="145" spans="1:15" x14ac:dyDescent="0.25">
      <c r="A145" t="s">
        <v>21</v>
      </c>
      <c r="B145">
        <v>4</v>
      </c>
      <c r="C145">
        <v>2</v>
      </c>
      <c r="D145">
        <v>16</v>
      </c>
      <c r="E145">
        <v>66</v>
      </c>
      <c r="F145">
        <v>200</v>
      </c>
      <c r="G145">
        <v>5000</v>
      </c>
      <c r="H145">
        <v>12.5</v>
      </c>
      <c r="I145">
        <v>5</v>
      </c>
      <c r="J145">
        <v>78</v>
      </c>
      <c r="K145">
        <v>5.1282051282051198</v>
      </c>
      <c r="L145">
        <v>8.8141025641025603</v>
      </c>
      <c r="M145">
        <v>71.817307692307693</v>
      </c>
      <c r="N145">
        <v>1.1634615384615301</v>
      </c>
      <c r="O145">
        <v>70</v>
      </c>
    </row>
    <row r="146" spans="1:15" x14ac:dyDescent="0.25">
      <c r="A146" t="s">
        <v>21</v>
      </c>
      <c r="B146">
        <v>4</v>
      </c>
      <c r="C146">
        <v>3</v>
      </c>
      <c r="D146">
        <v>17</v>
      </c>
      <c r="E146">
        <v>66</v>
      </c>
      <c r="F146">
        <v>270</v>
      </c>
      <c r="G146">
        <v>5000</v>
      </c>
      <c r="H146">
        <v>12.5</v>
      </c>
      <c r="I146">
        <v>5</v>
      </c>
      <c r="J146">
        <v>78</v>
      </c>
      <c r="K146">
        <v>5.1282051282051198</v>
      </c>
      <c r="L146">
        <v>8.8141025641025603</v>
      </c>
      <c r="M146">
        <v>71.817307692307693</v>
      </c>
      <c r="N146">
        <v>2.32692307692307</v>
      </c>
      <c r="O146">
        <v>69</v>
      </c>
    </row>
    <row r="147" spans="1:15" x14ac:dyDescent="0.25">
      <c r="A147" t="s">
        <v>21</v>
      </c>
      <c r="B147">
        <v>4</v>
      </c>
      <c r="C147">
        <v>4</v>
      </c>
      <c r="D147">
        <v>18</v>
      </c>
      <c r="E147">
        <v>66</v>
      </c>
      <c r="F147">
        <v>339</v>
      </c>
      <c r="G147">
        <v>5000</v>
      </c>
      <c r="H147">
        <v>12.5</v>
      </c>
      <c r="I147">
        <v>5</v>
      </c>
      <c r="J147">
        <v>78</v>
      </c>
      <c r="K147">
        <v>5.1282051282051198</v>
      </c>
      <c r="L147">
        <v>8.8141025641025603</v>
      </c>
      <c r="M147">
        <v>71.817307692307693</v>
      </c>
      <c r="N147">
        <v>3.4903846153846101</v>
      </c>
      <c r="O147">
        <v>68</v>
      </c>
    </row>
    <row r="148" spans="1:15" x14ac:dyDescent="0.25">
      <c r="A148" t="s">
        <v>21</v>
      </c>
      <c r="B148">
        <v>4</v>
      </c>
      <c r="C148">
        <v>5</v>
      </c>
      <c r="D148">
        <v>19</v>
      </c>
      <c r="E148">
        <v>66</v>
      </c>
      <c r="F148">
        <v>407</v>
      </c>
      <c r="G148">
        <v>5000</v>
      </c>
      <c r="H148">
        <v>12.5</v>
      </c>
      <c r="I148">
        <v>5</v>
      </c>
      <c r="J148">
        <v>78</v>
      </c>
      <c r="K148">
        <v>5.1282051282051198</v>
      </c>
      <c r="L148">
        <v>8.8141025641025603</v>
      </c>
      <c r="M148">
        <v>71.817307692307693</v>
      </c>
      <c r="N148">
        <v>0</v>
      </c>
      <c r="O148">
        <v>66</v>
      </c>
    </row>
    <row r="149" spans="1:15" x14ac:dyDescent="0.25">
      <c r="A149" t="s">
        <v>21</v>
      </c>
      <c r="B149">
        <v>4</v>
      </c>
      <c r="C149">
        <v>6</v>
      </c>
      <c r="D149">
        <v>20</v>
      </c>
      <c r="E149">
        <v>66</v>
      </c>
      <c r="F149">
        <v>473</v>
      </c>
      <c r="G149">
        <v>5000</v>
      </c>
      <c r="H149">
        <v>12.5</v>
      </c>
      <c r="I149">
        <v>5</v>
      </c>
      <c r="J149">
        <v>78</v>
      </c>
      <c r="K149">
        <v>5.1282051282051198</v>
      </c>
      <c r="L149">
        <v>8.8141025641025603</v>
      </c>
      <c r="M149">
        <v>71.817307692307693</v>
      </c>
      <c r="N149">
        <v>0</v>
      </c>
      <c r="O149">
        <v>66</v>
      </c>
    </row>
    <row r="150" spans="1:15" x14ac:dyDescent="0.25">
      <c r="A150" t="s">
        <v>21</v>
      </c>
      <c r="B150">
        <v>4</v>
      </c>
      <c r="C150">
        <v>7</v>
      </c>
      <c r="D150">
        <v>21</v>
      </c>
      <c r="E150">
        <v>66</v>
      </c>
      <c r="F150">
        <v>539</v>
      </c>
      <c r="G150">
        <v>5000</v>
      </c>
      <c r="H150">
        <v>12.5</v>
      </c>
      <c r="I150">
        <v>5</v>
      </c>
      <c r="J150">
        <v>78</v>
      </c>
      <c r="K150">
        <v>5.1282051282051198</v>
      </c>
      <c r="L150">
        <v>8.8141025641025603</v>
      </c>
      <c r="M150">
        <v>71.817307692307693</v>
      </c>
      <c r="N150">
        <v>0</v>
      </c>
      <c r="O150">
        <v>66</v>
      </c>
    </row>
    <row r="151" spans="1:15" x14ac:dyDescent="0.25">
      <c r="A151" t="s">
        <v>21</v>
      </c>
      <c r="B151">
        <v>4</v>
      </c>
      <c r="C151">
        <v>8</v>
      </c>
      <c r="D151">
        <v>22</v>
      </c>
      <c r="E151">
        <v>66</v>
      </c>
      <c r="F151">
        <v>669</v>
      </c>
      <c r="G151">
        <v>5000</v>
      </c>
      <c r="H151">
        <v>12.5</v>
      </c>
      <c r="I151">
        <v>5</v>
      </c>
      <c r="J151">
        <v>78</v>
      </c>
      <c r="K151">
        <v>5.1282051282051198</v>
      </c>
      <c r="L151">
        <v>8.8141025641025603</v>
      </c>
      <c r="M151">
        <v>71.817307692307693</v>
      </c>
      <c r="N151">
        <v>0</v>
      </c>
      <c r="O151">
        <v>66</v>
      </c>
    </row>
    <row r="152" spans="1:15" x14ac:dyDescent="0.25">
      <c r="A152" t="s">
        <v>21</v>
      </c>
      <c r="B152">
        <v>4</v>
      </c>
      <c r="C152">
        <v>9</v>
      </c>
      <c r="D152">
        <v>23</v>
      </c>
      <c r="E152">
        <v>66</v>
      </c>
      <c r="F152">
        <v>735</v>
      </c>
      <c r="G152">
        <v>5000</v>
      </c>
      <c r="H152">
        <v>12.5</v>
      </c>
      <c r="I152">
        <v>5</v>
      </c>
      <c r="J152">
        <v>78</v>
      </c>
      <c r="K152">
        <v>5.1282051282051198</v>
      </c>
      <c r="L152">
        <v>8.8141025641025603</v>
      </c>
      <c r="M152">
        <v>71.817307692307693</v>
      </c>
      <c r="N152">
        <v>0</v>
      </c>
      <c r="O152">
        <v>66</v>
      </c>
    </row>
    <row r="153" spans="1:15" x14ac:dyDescent="0.25">
      <c r="A153" t="s">
        <v>21</v>
      </c>
      <c r="B153">
        <v>4</v>
      </c>
      <c r="C153">
        <v>10</v>
      </c>
      <c r="D153">
        <v>24</v>
      </c>
      <c r="E153">
        <v>66</v>
      </c>
      <c r="F153">
        <v>801</v>
      </c>
      <c r="G153">
        <v>5000</v>
      </c>
      <c r="H153">
        <v>12.5</v>
      </c>
      <c r="I153">
        <v>5</v>
      </c>
      <c r="J153">
        <v>78</v>
      </c>
      <c r="K153">
        <v>5.1282051282051198</v>
      </c>
      <c r="L153">
        <v>8.8141025641025603</v>
      </c>
      <c r="M153">
        <v>71.817307692307693</v>
      </c>
      <c r="N153">
        <v>0</v>
      </c>
      <c r="O153">
        <v>66</v>
      </c>
    </row>
    <row r="154" spans="1:15" x14ac:dyDescent="0.25">
      <c r="A154" t="s">
        <v>21</v>
      </c>
      <c r="B154">
        <v>4</v>
      </c>
      <c r="C154">
        <v>11</v>
      </c>
      <c r="D154">
        <v>25</v>
      </c>
      <c r="E154">
        <v>66</v>
      </c>
      <c r="F154">
        <v>867</v>
      </c>
      <c r="G154">
        <v>5000</v>
      </c>
      <c r="H154">
        <v>12.5</v>
      </c>
      <c r="I154">
        <v>5</v>
      </c>
      <c r="J154">
        <v>78</v>
      </c>
      <c r="K154">
        <v>5.1282051282051198</v>
      </c>
      <c r="L154">
        <v>8.8141025641025603</v>
      </c>
      <c r="M154">
        <v>71.817307692307693</v>
      </c>
      <c r="N154">
        <v>20.242199999999901</v>
      </c>
      <c r="O154">
        <v>45</v>
      </c>
    </row>
    <row r="155" spans="1:15" x14ac:dyDescent="0.25">
      <c r="A155" t="s">
        <v>21</v>
      </c>
      <c r="B155">
        <v>4</v>
      </c>
      <c r="C155">
        <v>12</v>
      </c>
      <c r="D155">
        <v>26</v>
      </c>
      <c r="E155">
        <v>66</v>
      </c>
      <c r="F155">
        <v>912</v>
      </c>
      <c r="G155">
        <v>5000</v>
      </c>
      <c r="H155">
        <v>12.5</v>
      </c>
      <c r="I155">
        <v>5</v>
      </c>
      <c r="J155">
        <v>78</v>
      </c>
      <c r="K155">
        <v>5.1282051282051198</v>
      </c>
      <c r="L155">
        <v>8.8141025641025603</v>
      </c>
      <c r="M155">
        <v>71.817307692307693</v>
      </c>
      <c r="N155">
        <v>21.249969230769199</v>
      </c>
      <c r="O155">
        <v>44</v>
      </c>
    </row>
    <row r="156" spans="1:15" x14ac:dyDescent="0.25">
      <c r="A156" t="s">
        <v>21</v>
      </c>
      <c r="B156">
        <v>4</v>
      </c>
      <c r="C156">
        <v>13</v>
      </c>
      <c r="D156">
        <v>27</v>
      </c>
      <c r="E156">
        <v>66</v>
      </c>
      <c r="F156">
        <v>956</v>
      </c>
      <c r="G156">
        <v>5000</v>
      </c>
      <c r="H156">
        <v>12.5</v>
      </c>
      <c r="I156">
        <v>5</v>
      </c>
      <c r="J156">
        <v>78</v>
      </c>
      <c r="K156">
        <v>5.1282051282051198</v>
      </c>
      <c r="L156">
        <v>8.8141025641025603</v>
      </c>
      <c r="M156">
        <v>71.817307692307693</v>
      </c>
      <c r="N156">
        <v>22.1984888888888</v>
      </c>
      <c r="O156">
        <v>43</v>
      </c>
    </row>
    <row r="157" spans="1:15" x14ac:dyDescent="0.25">
      <c r="A157" t="s">
        <v>21</v>
      </c>
      <c r="B157">
        <v>5</v>
      </c>
      <c r="C157">
        <v>1</v>
      </c>
      <c r="D157">
        <v>28</v>
      </c>
      <c r="E157">
        <v>45</v>
      </c>
      <c r="F157">
        <v>999</v>
      </c>
      <c r="G157">
        <v>5000</v>
      </c>
      <c r="H157">
        <v>12.5</v>
      </c>
      <c r="I157">
        <v>5</v>
      </c>
      <c r="J157">
        <v>78</v>
      </c>
      <c r="K157">
        <v>6.4102564102564097</v>
      </c>
      <c r="L157">
        <v>9.4551282051282008</v>
      </c>
      <c r="M157">
        <v>49.254807692307601</v>
      </c>
      <c r="N157">
        <v>0</v>
      </c>
      <c r="O157">
        <v>49</v>
      </c>
    </row>
    <row r="158" spans="1:15" x14ac:dyDescent="0.25">
      <c r="A158" t="s">
        <v>21</v>
      </c>
      <c r="B158">
        <v>5</v>
      </c>
      <c r="C158">
        <v>2</v>
      </c>
      <c r="D158">
        <v>35</v>
      </c>
      <c r="E158">
        <v>45</v>
      </c>
      <c r="F158">
        <v>1390</v>
      </c>
      <c r="G158">
        <v>5000</v>
      </c>
      <c r="H158">
        <v>12.5</v>
      </c>
      <c r="I158">
        <v>5</v>
      </c>
      <c r="J158">
        <v>78</v>
      </c>
      <c r="K158">
        <v>6.4102564102564097</v>
      </c>
      <c r="L158">
        <v>9.4551282051282008</v>
      </c>
      <c r="M158">
        <v>49.254807692307601</v>
      </c>
      <c r="N158">
        <v>0.85096153846153799</v>
      </c>
      <c r="O158">
        <v>49</v>
      </c>
    </row>
    <row r="159" spans="1:15" x14ac:dyDescent="0.25">
      <c r="A159" t="s">
        <v>21</v>
      </c>
      <c r="B159">
        <v>5</v>
      </c>
      <c r="C159">
        <v>3</v>
      </c>
      <c r="D159">
        <v>37</v>
      </c>
      <c r="E159">
        <v>45</v>
      </c>
      <c r="F159">
        <v>1527</v>
      </c>
      <c r="G159">
        <v>5000</v>
      </c>
      <c r="H159">
        <v>12.5</v>
      </c>
      <c r="I159">
        <v>5</v>
      </c>
      <c r="J159">
        <v>78</v>
      </c>
      <c r="K159">
        <v>6.4102564102564097</v>
      </c>
      <c r="L159">
        <v>9.4551282051282008</v>
      </c>
      <c r="M159">
        <v>49.254807692307601</v>
      </c>
      <c r="N159">
        <v>1.70192307692307</v>
      </c>
      <c r="O159">
        <v>48</v>
      </c>
    </row>
    <row r="160" spans="1:15" x14ac:dyDescent="0.25">
      <c r="A160" t="s">
        <v>21</v>
      </c>
      <c r="B160">
        <v>5</v>
      </c>
      <c r="C160">
        <v>4</v>
      </c>
      <c r="D160">
        <v>39</v>
      </c>
      <c r="E160">
        <v>45</v>
      </c>
      <c r="F160">
        <v>1622</v>
      </c>
      <c r="G160">
        <v>5000</v>
      </c>
      <c r="H160">
        <v>12.5</v>
      </c>
      <c r="I160">
        <v>5</v>
      </c>
      <c r="J160">
        <v>78</v>
      </c>
      <c r="K160">
        <v>6.4102564102564097</v>
      </c>
      <c r="L160">
        <v>9.4551282051282008</v>
      </c>
      <c r="M160">
        <v>49.254807692307601</v>
      </c>
      <c r="N160">
        <v>2.5528846153846101</v>
      </c>
      <c r="O160">
        <v>47</v>
      </c>
    </row>
    <row r="161" spans="1:15" x14ac:dyDescent="0.25">
      <c r="A161" t="s">
        <v>21</v>
      </c>
      <c r="B161">
        <v>5</v>
      </c>
      <c r="C161">
        <v>5</v>
      </c>
      <c r="D161">
        <v>52</v>
      </c>
      <c r="E161">
        <v>45</v>
      </c>
      <c r="F161">
        <v>2531</v>
      </c>
      <c r="G161">
        <v>5000</v>
      </c>
      <c r="H161">
        <v>12.5</v>
      </c>
      <c r="I161">
        <v>5</v>
      </c>
      <c r="J161">
        <v>78</v>
      </c>
      <c r="K161">
        <v>6.4102564102564097</v>
      </c>
      <c r="L161">
        <v>9.4551282051282008</v>
      </c>
      <c r="M161">
        <v>49.254807692307601</v>
      </c>
      <c r="N161">
        <v>0</v>
      </c>
      <c r="O161">
        <v>45</v>
      </c>
    </row>
    <row r="162" spans="1:15" x14ac:dyDescent="0.25">
      <c r="A162" t="s">
        <v>21</v>
      </c>
      <c r="B162">
        <v>5</v>
      </c>
      <c r="C162">
        <v>6</v>
      </c>
      <c r="D162">
        <v>58</v>
      </c>
      <c r="E162">
        <v>45</v>
      </c>
      <c r="F162">
        <v>2856</v>
      </c>
      <c r="G162">
        <v>5000</v>
      </c>
      <c r="H162">
        <v>12.5</v>
      </c>
      <c r="I162">
        <v>5</v>
      </c>
      <c r="J162">
        <v>78</v>
      </c>
      <c r="K162">
        <v>6.4102564102564097</v>
      </c>
      <c r="L162">
        <v>9.4551282051282008</v>
      </c>
      <c r="M162">
        <v>49.254807692307601</v>
      </c>
      <c r="N162">
        <v>0</v>
      </c>
      <c r="O162">
        <v>45</v>
      </c>
    </row>
    <row r="163" spans="1:15" x14ac:dyDescent="0.25">
      <c r="A163" t="s">
        <v>21</v>
      </c>
      <c r="B163">
        <v>5</v>
      </c>
      <c r="C163">
        <v>7</v>
      </c>
      <c r="D163">
        <v>60</v>
      </c>
      <c r="E163">
        <v>45</v>
      </c>
      <c r="F163">
        <v>3319</v>
      </c>
      <c r="G163">
        <v>5000</v>
      </c>
      <c r="H163">
        <v>12.5</v>
      </c>
      <c r="I163">
        <v>5</v>
      </c>
      <c r="J163">
        <v>78</v>
      </c>
      <c r="K163">
        <v>6.4102564102564097</v>
      </c>
      <c r="L163">
        <v>9.4551282051282008</v>
      </c>
      <c r="M163">
        <v>49.254807692307601</v>
      </c>
      <c r="N163">
        <v>0</v>
      </c>
      <c r="O163">
        <v>45</v>
      </c>
    </row>
    <row r="164" spans="1:15" x14ac:dyDescent="0.25">
      <c r="A164" t="s">
        <v>21</v>
      </c>
      <c r="B164">
        <v>5</v>
      </c>
      <c r="C164">
        <v>8</v>
      </c>
      <c r="D164">
        <v>61</v>
      </c>
      <c r="E164">
        <v>45</v>
      </c>
      <c r="F164">
        <v>3364</v>
      </c>
      <c r="G164">
        <v>5000</v>
      </c>
      <c r="H164">
        <v>12.5</v>
      </c>
      <c r="I164">
        <v>5</v>
      </c>
      <c r="J164">
        <v>78</v>
      </c>
      <c r="K164">
        <v>6.4102564102564097</v>
      </c>
      <c r="L164">
        <v>9.4551282051282008</v>
      </c>
      <c r="M164">
        <v>49.254807692307601</v>
      </c>
      <c r="N164">
        <v>0</v>
      </c>
      <c r="O164">
        <v>45</v>
      </c>
    </row>
    <row r="165" spans="1:15" x14ac:dyDescent="0.25">
      <c r="A165" t="s">
        <v>21</v>
      </c>
      <c r="B165">
        <v>6</v>
      </c>
      <c r="C165">
        <v>1</v>
      </c>
      <c r="D165">
        <v>31</v>
      </c>
      <c r="E165">
        <v>43</v>
      </c>
      <c r="F165">
        <v>1058</v>
      </c>
      <c r="G165">
        <v>5000</v>
      </c>
      <c r="H165">
        <v>12.5</v>
      </c>
      <c r="I165">
        <v>5</v>
      </c>
      <c r="J165">
        <v>78</v>
      </c>
      <c r="K165">
        <v>7.6923076923076898</v>
      </c>
      <c r="L165">
        <v>10.096153846153801</v>
      </c>
      <c r="M165">
        <v>47.341346153846096</v>
      </c>
      <c r="N165">
        <v>0</v>
      </c>
      <c r="O165">
        <v>47</v>
      </c>
    </row>
    <row r="166" spans="1:15" x14ac:dyDescent="0.25">
      <c r="A166" t="s">
        <v>21</v>
      </c>
      <c r="B166">
        <v>6</v>
      </c>
      <c r="C166">
        <v>2</v>
      </c>
      <c r="D166">
        <v>38</v>
      </c>
      <c r="E166">
        <v>43</v>
      </c>
      <c r="F166">
        <v>1575</v>
      </c>
      <c r="G166">
        <v>5000</v>
      </c>
      <c r="H166">
        <v>12.5</v>
      </c>
      <c r="I166">
        <v>5</v>
      </c>
      <c r="J166">
        <v>78</v>
      </c>
      <c r="K166">
        <v>7.6923076923076898</v>
      </c>
      <c r="L166">
        <v>10.096153846153801</v>
      </c>
      <c r="M166">
        <v>47.341346153846096</v>
      </c>
      <c r="N166">
        <v>0.86826923076923002</v>
      </c>
      <c r="O166">
        <v>47</v>
      </c>
    </row>
    <row r="167" spans="1:15" x14ac:dyDescent="0.25">
      <c r="A167" t="s">
        <v>21</v>
      </c>
      <c r="B167">
        <v>6</v>
      </c>
      <c r="C167">
        <v>3</v>
      </c>
      <c r="D167">
        <v>43</v>
      </c>
      <c r="E167">
        <v>43</v>
      </c>
      <c r="F167">
        <v>1932</v>
      </c>
      <c r="G167">
        <v>5000</v>
      </c>
      <c r="H167">
        <v>12.5</v>
      </c>
      <c r="I167">
        <v>5</v>
      </c>
      <c r="J167">
        <v>78</v>
      </c>
      <c r="K167">
        <v>7.6923076923076898</v>
      </c>
      <c r="L167">
        <v>10.096153846153801</v>
      </c>
      <c r="M167">
        <v>47.341346153846096</v>
      </c>
      <c r="N167">
        <v>1.73653846153846</v>
      </c>
      <c r="O167">
        <v>46</v>
      </c>
    </row>
    <row r="168" spans="1:15" x14ac:dyDescent="0.25">
      <c r="A168" t="s">
        <v>21</v>
      </c>
      <c r="B168">
        <v>6</v>
      </c>
      <c r="C168">
        <v>4</v>
      </c>
      <c r="D168">
        <v>44</v>
      </c>
      <c r="E168">
        <v>43</v>
      </c>
      <c r="F168">
        <v>1978</v>
      </c>
      <c r="G168">
        <v>5000</v>
      </c>
      <c r="H168">
        <v>12.5</v>
      </c>
      <c r="I168">
        <v>5</v>
      </c>
      <c r="J168">
        <v>78</v>
      </c>
      <c r="K168">
        <v>7.6923076923076898</v>
      </c>
      <c r="L168">
        <v>10.096153846153801</v>
      </c>
      <c r="M168">
        <v>47.341346153846096</v>
      </c>
      <c r="N168">
        <v>2.6048076923076899</v>
      </c>
      <c r="O168">
        <v>45</v>
      </c>
    </row>
    <row r="169" spans="1:15" x14ac:dyDescent="0.25">
      <c r="A169" t="s">
        <v>21</v>
      </c>
      <c r="B169">
        <v>6</v>
      </c>
      <c r="C169">
        <v>5</v>
      </c>
      <c r="D169">
        <v>45</v>
      </c>
      <c r="E169">
        <v>43</v>
      </c>
      <c r="F169">
        <v>2023</v>
      </c>
      <c r="G169">
        <v>5000</v>
      </c>
      <c r="H169">
        <v>12.5</v>
      </c>
      <c r="I169">
        <v>5</v>
      </c>
      <c r="J169">
        <v>78</v>
      </c>
      <c r="K169">
        <v>7.6923076923076898</v>
      </c>
      <c r="L169">
        <v>10.096153846153801</v>
      </c>
      <c r="M169">
        <v>47.341346153846096</v>
      </c>
      <c r="N169">
        <v>0</v>
      </c>
      <c r="O169">
        <v>43</v>
      </c>
    </row>
    <row r="170" spans="1:15" x14ac:dyDescent="0.25">
      <c r="A170" t="s">
        <v>21</v>
      </c>
      <c r="B170">
        <v>6</v>
      </c>
      <c r="C170">
        <v>6</v>
      </c>
      <c r="D170">
        <v>49</v>
      </c>
      <c r="E170">
        <v>43</v>
      </c>
      <c r="F170">
        <v>2268</v>
      </c>
      <c r="G170">
        <v>5000</v>
      </c>
      <c r="H170">
        <v>12.5</v>
      </c>
      <c r="I170">
        <v>5</v>
      </c>
      <c r="J170">
        <v>78</v>
      </c>
      <c r="K170">
        <v>7.6923076923076898</v>
      </c>
      <c r="L170">
        <v>10.096153846153801</v>
      </c>
      <c r="M170">
        <v>47.341346153846096</v>
      </c>
      <c r="N170">
        <v>0</v>
      </c>
      <c r="O170">
        <v>43</v>
      </c>
    </row>
    <row r="171" spans="1:15" x14ac:dyDescent="0.25">
      <c r="A171" t="s">
        <v>21</v>
      </c>
      <c r="B171">
        <v>6</v>
      </c>
      <c r="C171">
        <v>7</v>
      </c>
      <c r="D171">
        <v>56</v>
      </c>
      <c r="E171">
        <v>43</v>
      </c>
      <c r="F171">
        <v>2679</v>
      </c>
      <c r="G171">
        <v>5000</v>
      </c>
      <c r="H171">
        <v>12.5</v>
      </c>
      <c r="I171">
        <v>5</v>
      </c>
      <c r="J171">
        <v>78</v>
      </c>
      <c r="K171">
        <v>7.6923076923076898</v>
      </c>
      <c r="L171">
        <v>10.096153846153801</v>
      </c>
      <c r="M171">
        <v>47.341346153846096</v>
      </c>
      <c r="N171">
        <v>0</v>
      </c>
      <c r="O171">
        <v>43</v>
      </c>
    </row>
    <row r="172" spans="1:15" x14ac:dyDescent="0.25">
      <c r="A172" t="s">
        <v>21</v>
      </c>
      <c r="B172">
        <v>6</v>
      </c>
      <c r="C172">
        <v>8</v>
      </c>
      <c r="D172">
        <v>59</v>
      </c>
      <c r="E172">
        <v>43</v>
      </c>
      <c r="F172">
        <v>2901</v>
      </c>
      <c r="G172">
        <v>5000</v>
      </c>
      <c r="H172">
        <v>12.5</v>
      </c>
      <c r="I172">
        <v>5</v>
      </c>
      <c r="J172">
        <v>78</v>
      </c>
      <c r="K172">
        <v>7.6923076923076898</v>
      </c>
      <c r="L172">
        <v>10.096153846153801</v>
      </c>
      <c r="M172">
        <v>47.341346153846096</v>
      </c>
      <c r="N172">
        <v>0</v>
      </c>
      <c r="O172">
        <v>43</v>
      </c>
    </row>
    <row r="173" spans="1:15" x14ac:dyDescent="0.25">
      <c r="A173" t="s">
        <v>21</v>
      </c>
      <c r="B173">
        <v>6</v>
      </c>
      <c r="C173">
        <v>9</v>
      </c>
      <c r="D173">
        <v>62</v>
      </c>
      <c r="E173">
        <v>43</v>
      </c>
      <c r="F173">
        <v>3409</v>
      </c>
      <c r="G173">
        <v>5000</v>
      </c>
      <c r="H173">
        <v>12.5</v>
      </c>
      <c r="I173">
        <v>5</v>
      </c>
      <c r="J173">
        <v>78</v>
      </c>
      <c r="K173">
        <v>7.6923076923076898</v>
      </c>
      <c r="L173">
        <v>10.096153846153801</v>
      </c>
      <c r="M173">
        <v>47.341346153846096</v>
      </c>
      <c r="N173">
        <v>0</v>
      </c>
      <c r="O173">
        <v>43</v>
      </c>
    </row>
    <row r="174" spans="1:15" x14ac:dyDescent="0.25">
      <c r="A174" t="s">
        <v>21</v>
      </c>
      <c r="B174">
        <v>6</v>
      </c>
      <c r="C174">
        <v>10</v>
      </c>
      <c r="D174">
        <v>66</v>
      </c>
      <c r="E174">
        <v>43</v>
      </c>
      <c r="F174">
        <v>3791</v>
      </c>
      <c r="G174">
        <v>5000</v>
      </c>
      <c r="H174">
        <v>12.5</v>
      </c>
      <c r="I174">
        <v>5</v>
      </c>
      <c r="J174">
        <v>78</v>
      </c>
      <c r="K174">
        <v>7.6923076923076898</v>
      </c>
      <c r="L174">
        <v>10.096153846153801</v>
      </c>
      <c r="M174">
        <v>47.341346153846096</v>
      </c>
      <c r="N174">
        <v>0</v>
      </c>
      <c r="O174">
        <v>43</v>
      </c>
    </row>
    <row r="175" spans="1:15" x14ac:dyDescent="0.25">
      <c r="A175" t="s">
        <v>21</v>
      </c>
      <c r="B175">
        <v>6</v>
      </c>
      <c r="C175">
        <v>11</v>
      </c>
      <c r="D175">
        <v>68</v>
      </c>
      <c r="E175">
        <v>43</v>
      </c>
      <c r="F175">
        <v>3959</v>
      </c>
      <c r="G175">
        <v>5000</v>
      </c>
      <c r="H175">
        <v>12.5</v>
      </c>
      <c r="I175">
        <v>5</v>
      </c>
      <c r="J175">
        <v>78</v>
      </c>
      <c r="K175">
        <v>7.6923076923076898</v>
      </c>
      <c r="L175">
        <v>10.096153846153801</v>
      </c>
      <c r="M175">
        <v>47.341346153846096</v>
      </c>
      <c r="N175">
        <v>20.5016411764705</v>
      </c>
      <c r="O175">
        <v>22</v>
      </c>
    </row>
    <row r="176" spans="1:15" x14ac:dyDescent="0.25">
      <c r="A176" t="s">
        <v>21</v>
      </c>
      <c r="B176">
        <v>6</v>
      </c>
      <c r="C176">
        <v>12</v>
      </c>
      <c r="D176">
        <v>69</v>
      </c>
      <c r="E176">
        <v>43</v>
      </c>
      <c r="F176">
        <v>3981</v>
      </c>
      <c r="G176">
        <v>5000</v>
      </c>
      <c r="H176">
        <v>12.5</v>
      </c>
      <c r="I176">
        <v>5</v>
      </c>
      <c r="J176">
        <v>78</v>
      </c>
      <c r="K176">
        <v>7.6923076923076898</v>
      </c>
      <c r="L176">
        <v>10.096153846153801</v>
      </c>
      <c r="M176">
        <v>47.341346153846096</v>
      </c>
      <c r="N176">
        <v>20.8574304347826</v>
      </c>
      <c r="O176">
        <v>22</v>
      </c>
    </row>
    <row r="177" spans="1:15" x14ac:dyDescent="0.25">
      <c r="A177" t="s">
        <v>21</v>
      </c>
      <c r="B177">
        <v>6</v>
      </c>
      <c r="C177">
        <v>13</v>
      </c>
      <c r="D177">
        <v>70</v>
      </c>
      <c r="E177">
        <v>43</v>
      </c>
      <c r="F177">
        <v>4003</v>
      </c>
      <c r="G177">
        <v>5000</v>
      </c>
      <c r="H177">
        <v>12.5</v>
      </c>
      <c r="I177">
        <v>5</v>
      </c>
      <c r="J177">
        <v>78</v>
      </c>
      <c r="K177">
        <v>7.6923076923076898</v>
      </c>
      <c r="L177">
        <v>10.096153846153801</v>
      </c>
      <c r="M177">
        <v>47.341346153846096</v>
      </c>
      <c r="N177">
        <v>21.205757142857099</v>
      </c>
      <c r="O177">
        <v>21</v>
      </c>
    </row>
    <row r="178" spans="1:15" x14ac:dyDescent="0.25">
      <c r="A178" t="s">
        <v>21</v>
      </c>
      <c r="B178">
        <v>7</v>
      </c>
      <c r="C178">
        <v>1</v>
      </c>
      <c r="D178">
        <v>32</v>
      </c>
      <c r="E178">
        <v>83</v>
      </c>
      <c r="F178">
        <v>1105</v>
      </c>
      <c r="G178">
        <v>5000</v>
      </c>
      <c r="H178">
        <v>12.5</v>
      </c>
      <c r="I178">
        <v>5</v>
      </c>
      <c r="J178">
        <v>78</v>
      </c>
      <c r="K178">
        <v>8.9743589743589691</v>
      </c>
      <c r="L178">
        <v>10.7371794871794</v>
      </c>
      <c r="M178">
        <v>91.911858974358907</v>
      </c>
      <c r="N178">
        <v>0</v>
      </c>
      <c r="O178">
        <v>91</v>
      </c>
    </row>
    <row r="179" spans="1:15" x14ac:dyDescent="0.25">
      <c r="A179" t="s">
        <v>21</v>
      </c>
      <c r="B179">
        <v>7</v>
      </c>
      <c r="C179">
        <v>2</v>
      </c>
      <c r="D179">
        <v>33</v>
      </c>
      <c r="E179">
        <v>83</v>
      </c>
      <c r="F179">
        <v>1196</v>
      </c>
      <c r="G179">
        <v>5000</v>
      </c>
      <c r="H179">
        <v>12.5</v>
      </c>
      <c r="I179">
        <v>5</v>
      </c>
      <c r="J179">
        <v>78</v>
      </c>
      <c r="K179">
        <v>8.9743589743589691</v>
      </c>
      <c r="L179">
        <v>10.7371794871794</v>
      </c>
      <c r="M179">
        <v>91.911858974358907</v>
      </c>
      <c r="N179">
        <v>1.7823717948717901</v>
      </c>
      <c r="O179">
        <v>90</v>
      </c>
    </row>
    <row r="180" spans="1:15" x14ac:dyDescent="0.25">
      <c r="A180" t="s">
        <v>21</v>
      </c>
      <c r="B180">
        <v>7</v>
      </c>
      <c r="C180">
        <v>3</v>
      </c>
      <c r="D180">
        <v>36</v>
      </c>
      <c r="E180">
        <v>83</v>
      </c>
      <c r="F180">
        <v>1439</v>
      </c>
      <c r="G180">
        <v>5000</v>
      </c>
      <c r="H180">
        <v>12.5</v>
      </c>
      <c r="I180">
        <v>5</v>
      </c>
      <c r="J180">
        <v>78</v>
      </c>
      <c r="K180">
        <v>8.9743589743589691</v>
      </c>
      <c r="L180">
        <v>10.7371794871794</v>
      </c>
      <c r="M180">
        <v>91.911858974358907</v>
      </c>
      <c r="N180">
        <v>3.56474358974359</v>
      </c>
      <c r="O180">
        <v>88</v>
      </c>
    </row>
    <row r="181" spans="1:15" x14ac:dyDescent="0.25">
      <c r="A181" t="s">
        <v>21</v>
      </c>
      <c r="B181">
        <v>7</v>
      </c>
      <c r="C181">
        <v>4</v>
      </c>
      <c r="D181">
        <v>42</v>
      </c>
      <c r="E181">
        <v>83</v>
      </c>
      <c r="F181">
        <v>1846</v>
      </c>
      <c r="G181">
        <v>5000</v>
      </c>
      <c r="H181">
        <v>12.5</v>
      </c>
      <c r="I181">
        <v>5</v>
      </c>
      <c r="J181">
        <v>78</v>
      </c>
      <c r="K181">
        <v>8.9743589743589691</v>
      </c>
      <c r="L181">
        <v>10.7371794871794</v>
      </c>
      <c r="M181">
        <v>91.911858974358907</v>
      </c>
      <c r="N181">
        <v>5.3471153846153801</v>
      </c>
      <c r="O181">
        <v>86</v>
      </c>
    </row>
    <row r="182" spans="1:15" x14ac:dyDescent="0.25">
      <c r="A182" t="s">
        <v>21</v>
      </c>
      <c r="B182">
        <v>7</v>
      </c>
      <c r="C182">
        <v>5</v>
      </c>
      <c r="D182">
        <v>47</v>
      </c>
      <c r="E182">
        <v>83</v>
      </c>
      <c r="F182">
        <v>2102</v>
      </c>
      <c r="G182">
        <v>5000</v>
      </c>
      <c r="H182">
        <v>12.5</v>
      </c>
      <c r="I182">
        <v>5</v>
      </c>
      <c r="J182">
        <v>78</v>
      </c>
      <c r="K182">
        <v>8.9743589743589691</v>
      </c>
      <c r="L182">
        <v>10.7371794871794</v>
      </c>
      <c r="M182">
        <v>91.911858974358907</v>
      </c>
      <c r="N182">
        <v>0</v>
      </c>
      <c r="O182">
        <v>83</v>
      </c>
    </row>
    <row r="183" spans="1:15" x14ac:dyDescent="0.25">
      <c r="A183" t="s">
        <v>21</v>
      </c>
      <c r="B183">
        <v>7</v>
      </c>
      <c r="C183">
        <v>6</v>
      </c>
      <c r="D183">
        <v>48</v>
      </c>
      <c r="E183">
        <v>83</v>
      </c>
      <c r="F183">
        <v>2185</v>
      </c>
      <c r="G183">
        <v>5000</v>
      </c>
      <c r="H183">
        <v>12.5</v>
      </c>
      <c r="I183">
        <v>5</v>
      </c>
      <c r="J183">
        <v>78</v>
      </c>
      <c r="K183">
        <v>8.9743589743589691</v>
      </c>
      <c r="L183">
        <v>10.7371794871794</v>
      </c>
      <c r="M183">
        <v>91.911858974358907</v>
      </c>
      <c r="N183">
        <v>0</v>
      </c>
      <c r="O183">
        <v>83</v>
      </c>
    </row>
    <row r="184" spans="1:15" x14ac:dyDescent="0.25">
      <c r="A184" t="s">
        <v>21</v>
      </c>
      <c r="B184">
        <v>7</v>
      </c>
      <c r="C184">
        <v>7</v>
      </c>
      <c r="D184">
        <v>50</v>
      </c>
      <c r="E184">
        <v>83</v>
      </c>
      <c r="F184">
        <v>2311</v>
      </c>
      <c r="G184">
        <v>5000</v>
      </c>
      <c r="H184">
        <v>12.5</v>
      </c>
      <c r="I184">
        <v>5</v>
      </c>
      <c r="J184">
        <v>78</v>
      </c>
      <c r="K184">
        <v>8.9743589743589691</v>
      </c>
      <c r="L184">
        <v>10.7371794871794</v>
      </c>
      <c r="M184">
        <v>91.911858974358907</v>
      </c>
      <c r="N184">
        <v>0</v>
      </c>
      <c r="O184">
        <v>83</v>
      </c>
    </row>
    <row r="185" spans="1:15" x14ac:dyDescent="0.25">
      <c r="A185" t="s">
        <v>21</v>
      </c>
      <c r="B185">
        <v>7</v>
      </c>
      <c r="C185">
        <v>8</v>
      </c>
      <c r="D185">
        <v>64</v>
      </c>
      <c r="E185">
        <v>83</v>
      </c>
      <c r="F185">
        <v>3583</v>
      </c>
      <c r="G185">
        <v>5000</v>
      </c>
      <c r="H185">
        <v>12.5</v>
      </c>
      <c r="I185">
        <v>5</v>
      </c>
      <c r="J185">
        <v>78</v>
      </c>
      <c r="K185">
        <v>8.9743589743589691</v>
      </c>
      <c r="L185">
        <v>10.7371794871794</v>
      </c>
      <c r="M185">
        <v>91.911858974358907</v>
      </c>
      <c r="N185">
        <v>0</v>
      </c>
      <c r="O185">
        <v>83</v>
      </c>
    </row>
    <row r="186" spans="1:15" x14ac:dyDescent="0.25">
      <c r="A186" t="s">
        <v>21</v>
      </c>
      <c r="B186">
        <v>8</v>
      </c>
      <c r="C186">
        <v>1</v>
      </c>
      <c r="D186">
        <v>34</v>
      </c>
      <c r="E186">
        <v>34</v>
      </c>
      <c r="F186">
        <v>1353</v>
      </c>
      <c r="G186">
        <v>5000</v>
      </c>
      <c r="H186">
        <v>12.5</v>
      </c>
      <c r="I186">
        <v>5</v>
      </c>
      <c r="J186">
        <v>78</v>
      </c>
      <c r="K186">
        <v>10.2564102564102</v>
      </c>
      <c r="L186">
        <v>11.378205128205099</v>
      </c>
      <c r="M186">
        <v>37.868589743589702</v>
      </c>
      <c r="N186">
        <v>0</v>
      </c>
      <c r="O186">
        <v>37</v>
      </c>
    </row>
    <row r="187" spans="1:15" x14ac:dyDescent="0.25">
      <c r="A187" t="s">
        <v>21</v>
      </c>
      <c r="B187">
        <v>8</v>
      </c>
      <c r="C187">
        <v>2</v>
      </c>
      <c r="D187">
        <v>40</v>
      </c>
      <c r="E187">
        <v>34</v>
      </c>
      <c r="F187">
        <v>1669</v>
      </c>
      <c r="G187">
        <v>5000</v>
      </c>
      <c r="H187">
        <v>12.5</v>
      </c>
      <c r="I187">
        <v>5</v>
      </c>
      <c r="J187">
        <v>78</v>
      </c>
      <c r="K187">
        <v>10.2564102564102</v>
      </c>
      <c r="L187">
        <v>11.378205128205099</v>
      </c>
      <c r="M187">
        <v>37.868589743589702</v>
      </c>
      <c r="N187">
        <v>0.77371794871794797</v>
      </c>
      <c r="O187">
        <v>37</v>
      </c>
    </row>
    <row r="188" spans="1:15" x14ac:dyDescent="0.25">
      <c r="A188" t="s">
        <v>21</v>
      </c>
      <c r="B188">
        <v>8</v>
      </c>
      <c r="C188">
        <v>3</v>
      </c>
      <c r="D188">
        <v>46</v>
      </c>
      <c r="E188">
        <v>34</v>
      </c>
      <c r="F188">
        <v>2066</v>
      </c>
      <c r="G188">
        <v>5000</v>
      </c>
      <c r="H188">
        <v>12.5</v>
      </c>
      <c r="I188">
        <v>5</v>
      </c>
      <c r="J188">
        <v>78</v>
      </c>
      <c r="K188">
        <v>10.2564102564102</v>
      </c>
      <c r="L188">
        <v>11.378205128205099</v>
      </c>
      <c r="M188">
        <v>37.868589743589702</v>
      </c>
      <c r="N188">
        <v>1.5474358974358899</v>
      </c>
      <c r="O188">
        <v>36</v>
      </c>
    </row>
    <row r="189" spans="1:15" x14ac:dyDescent="0.25">
      <c r="A189" t="s">
        <v>21</v>
      </c>
      <c r="B189">
        <v>8</v>
      </c>
      <c r="C189">
        <v>4</v>
      </c>
      <c r="D189">
        <v>53</v>
      </c>
      <c r="E189">
        <v>34</v>
      </c>
      <c r="F189">
        <v>2576</v>
      </c>
      <c r="G189">
        <v>5000</v>
      </c>
      <c r="H189">
        <v>12.5</v>
      </c>
      <c r="I189">
        <v>5</v>
      </c>
      <c r="J189">
        <v>78</v>
      </c>
      <c r="K189">
        <v>10.2564102564102</v>
      </c>
      <c r="L189">
        <v>11.378205128205099</v>
      </c>
      <c r="M189">
        <v>37.868589743589702</v>
      </c>
      <c r="N189">
        <v>2.3211538461538401</v>
      </c>
      <c r="O189">
        <v>35</v>
      </c>
    </row>
    <row r="190" spans="1:15" x14ac:dyDescent="0.25">
      <c r="A190" t="s">
        <v>21</v>
      </c>
      <c r="B190">
        <v>8</v>
      </c>
      <c r="C190">
        <v>5</v>
      </c>
      <c r="D190">
        <v>54</v>
      </c>
      <c r="E190">
        <v>34</v>
      </c>
      <c r="F190">
        <v>2611</v>
      </c>
      <c r="G190">
        <v>5000</v>
      </c>
      <c r="H190">
        <v>12.5</v>
      </c>
      <c r="I190">
        <v>5</v>
      </c>
      <c r="J190">
        <v>78</v>
      </c>
      <c r="K190">
        <v>10.2564102564102</v>
      </c>
      <c r="L190">
        <v>11.378205128205099</v>
      </c>
      <c r="M190">
        <v>37.868589743589702</v>
      </c>
      <c r="N190">
        <v>0</v>
      </c>
      <c r="O190">
        <v>34</v>
      </c>
    </row>
    <row r="191" spans="1:15" x14ac:dyDescent="0.25">
      <c r="A191" t="s">
        <v>21</v>
      </c>
      <c r="B191">
        <v>8</v>
      </c>
      <c r="C191">
        <v>6</v>
      </c>
      <c r="D191">
        <v>55</v>
      </c>
      <c r="E191">
        <v>34</v>
      </c>
      <c r="F191">
        <v>2645</v>
      </c>
      <c r="G191">
        <v>5000</v>
      </c>
      <c r="H191">
        <v>12.5</v>
      </c>
      <c r="I191">
        <v>5</v>
      </c>
      <c r="J191">
        <v>78</v>
      </c>
      <c r="K191">
        <v>10.2564102564102</v>
      </c>
      <c r="L191">
        <v>11.378205128205099</v>
      </c>
      <c r="M191">
        <v>37.868589743589702</v>
      </c>
      <c r="N191">
        <v>0</v>
      </c>
      <c r="O191">
        <v>34</v>
      </c>
    </row>
    <row r="192" spans="1:15" x14ac:dyDescent="0.25">
      <c r="A192" t="s">
        <v>21</v>
      </c>
      <c r="B192">
        <v>9</v>
      </c>
      <c r="C192">
        <v>1</v>
      </c>
      <c r="D192">
        <v>41</v>
      </c>
      <c r="E192">
        <v>125</v>
      </c>
      <c r="F192">
        <v>1706</v>
      </c>
      <c r="G192">
        <v>5000</v>
      </c>
      <c r="H192">
        <v>12.5</v>
      </c>
      <c r="I192">
        <v>5</v>
      </c>
      <c r="J192">
        <v>78</v>
      </c>
      <c r="K192">
        <v>11.538461538461499</v>
      </c>
      <c r="L192">
        <v>12.019230769230701</v>
      </c>
      <c r="M192">
        <v>140.024038461538</v>
      </c>
      <c r="N192">
        <v>0</v>
      </c>
      <c r="O192">
        <v>140</v>
      </c>
    </row>
    <row r="193" spans="1:15" x14ac:dyDescent="0.25">
      <c r="A193" t="s">
        <v>21</v>
      </c>
      <c r="B193">
        <v>9</v>
      </c>
      <c r="C193">
        <v>2</v>
      </c>
      <c r="D193">
        <v>51</v>
      </c>
      <c r="E193">
        <v>125</v>
      </c>
      <c r="F193">
        <v>2394</v>
      </c>
      <c r="G193">
        <v>5000</v>
      </c>
      <c r="H193">
        <v>12.5</v>
      </c>
      <c r="I193">
        <v>5</v>
      </c>
      <c r="J193">
        <v>78</v>
      </c>
      <c r="K193">
        <v>11.538461538461499</v>
      </c>
      <c r="L193">
        <v>12.019230769230701</v>
      </c>
      <c r="M193">
        <v>140.024038461538</v>
      </c>
      <c r="N193">
        <v>3.0048076923076898</v>
      </c>
      <c r="O193">
        <v>137</v>
      </c>
    </row>
    <row r="194" spans="1:15" x14ac:dyDescent="0.25">
      <c r="A194" t="s">
        <v>21</v>
      </c>
      <c r="B194">
        <v>9</v>
      </c>
      <c r="C194">
        <v>3</v>
      </c>
      <c r="D194">
        <v>57</v>
      </c>
      <c r="E194">
        <v>125</v>
      </c>
      <c r="F194">
        <v>2722</v>
      </c>
      <c r="G194">
        <v>5000</v>
      </c>
      <c r="H194">
        <v>12.5</v>
      </c>
      <c r="I194">
        <v>5</v>
      </c>
      <c r="J194">
        <v>78</v>
      </c>
      <c r="K194">
        <v>11.538461538461499</v>
      </c>
      <c r="L194">
        <v>12.019230769230701</v>
      </c>
      <c r="M194">
        <v>140.024038461538</v>
      </c>
      <c r="N194">
        <v>6.0096153846153797</v>
      </c>
      <c r="O194">
        <v>134</v>
      </c>
    </row>
    <row r="195" spans="1:15" x14ac:dyDescent="0.25">
      <c r="A195" t="s">
        <v>21</v>
      </c>
      <c r="B195">
        <v>9</v>
      </c>
      <c r="C195">
        <v>4</v>
      </c>
      <c r="D195">
        <v>63</v>
      </c>
      <c r="E195">
        <v>125</v>
      </c>
      <c r="F195">
        <v>3452</v>
      </c>
      <c r="G195">
        <v>5000</v>
      </c>
      <c r="H195">
        <v>12.5</v>
      </c>
      <c r="I195">
        <v>5</v>
      </c>
      <c r="J195">
        <v>78</v>
      </c>
      <c r="K195">
        <v>11.538461538461499</v>
      </c>
      <c r="L195">
        <v>12.019230769230701</v>
      </c>
      <c r="M195">
        <v>140.024038461538</v>
      </c>
      <c r="N195">
        <v>9.0144230769230695</v>
      </c>
      <c r="O195">
        <v>131</v>
      </c>
    </row>
    <row r="196" spans="1:15" x14ac:dyDescent="0.25">
      <c r="A196" t="s">
        <v>21</v>
      </c>
      <c r="B196">
        <v>9</v>
      </c>
      <c r="C196">
        <v>5</v>
      </c>
      <c r="D196">
        <v>65</v>
      </c>
      <c r="E196">
        <v>125</v>
      </c>
      <c r="F196">
        <v>3666</v>
      </c>
      <c r="G196">
        <v>5000</v>
      </c>
      <c r="H196">
        <v>12.5</v>
      </c>
      <c r="I196">
        <v>5</v>
      </c>
      <c r="J196">
        <v>78</v>
      </c>
      <c r="K196">
        <v>11.538461538461499</v>
      </c>
      <c r="L196">
        <v>12.019230769230701</v>
      </c>
      <c r="M196">
        <v>140.024038461538</v>
      </c>
      <c r="N196">
        <v>0</v>
      </c>
      <c r="O196">
        <v>125</v>
      </c>
    </row>
    <row r="197" spans="1:15" x14ac:dyDescent="0.25">
      <c r="A197" t="s">
        <v>21</v>
      </c>
      <c r="B197">
        <v>9</v>
      </c>
      <c r="C197">
        <v>6</v>
      </c>
      <c r="D197">
        <v>67</v>
      </c>
      <c r="E197">
        <v>125</v>
      </c>
      <c r="F197">
        <v>3834</v>
      </c>
      <c r="G197">
        <v>5000</v>
      </c>
      <c r="H197">
        <v>12.5</v>
      </c>
      <c r="I197">
        <v>5</v>
      </c>
      <c r="J197">
        <v>78</v>
      </c>
      <c r="K197">
        <v>11.538461538461499</v>
      </c>
      <c r="L197">
        <v>12.019230769230701</v>
      </c>
      <c r="M197">
        <v>140.024038461538</v>
      </c>
      <c r="N197">
        <v>0</v>
      </c>
      <c r="O197">
        <v>125</v>
      </c>
    </row>
    <row r="198" spans="1:15" x14ac:dyDescent="0.25">
      <c r="A198" t="s">
        <v>21</v>
      </c>
      <c r="B198">
        <v>10</v>
      </c>
      <c r="C198">
        <v>1</v>
      </c>
      <c r="D198">
        <v>71</v>
      </c>
      <c r="E198">
        <v>5</v>
      </c>
      <c r="F198">
        <v>4024</v>
      </c>
      <c r="G198">
        <v>5000</v>
      </c>
      <c r="H198">
        <v>12.5</v>
      </c>
      <c r="I198">
        <v>5</v>
      </c>
      <c r="J198">
        <v>78</v>
      </c>
      <c r="K198">
        <v>12.8205128205128</v>
      </c>
      <c r="L198">
        <v>12.6602564102564</v>
      </c>
      <c r="M198">
        <v>5.6330128205128203</v>
      </c>
      <c r="N198">
        <v>0</v>
      </c>
      <c r="O198">
        <v>5</v>
      </c>
    </row>
    <row r="199" spans="1:15" x14ac:dyDescent="0.25">
      <c r="A199" t="s">
        <v>21</v>
      </c>
      <c r="B199">
        <v>10</v>
      </c>
      <c r="C199">
        <v>2</v>
      </c>
      <c r="D199">
        <v>72</v>
      </c>
      <c r="E199">
        <v>5</v>
      </c>
      <c r="F199">
        <v>4029</v>
      </c>
      <c r="G199">
        <v>5000</v>
      </c>
      <c r="H199">
        <v>12.5</v>
      </c>
      <c r="I199">
        <v>5</v>
      </c>
      <c r="J199">
        <v>78</v>
      </c>
      <c r="K199">
        <v>12.8205128205128</v>
      </c>
      <c r="L199">
        <v>12.6602564102564</v>
      </c>
      <c r="M199">
        <v>5.6330128205128203</v>
      </c>
      <c r="N199">
        <v>0.12660256410256401</v>
      </c>
      <c r="O199">
        <v>5</v>
      </c>
    </row>
  </sheetData>
  <autoFilter ref="A1:O1" xr:uid="{CB2298D9-F3E9-434B-AA69-F6C74A0E91B7}">
    <sortState xmlns:xlrd2="http://schemas.microsoft.com/office/spreadsheetml/2017/richdata2" ref="A2:O199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BCBF-E0F3-4A72-9234-FFADBF8F58AE}">
  <dimension ref="A1:O197"/>
  <sheetViews>
    <sheetView topLeftCell="A40" workbookViewId="0">
      <selection activeCell="K46" sqref="K46"/>
    </sheetView>
  </sheetViews>
  <sheetFormatPr baseColWidth="10" defaultRowHeight="15" x14ac:dyDescent="0.25"/>
  <cols>
    <col min="1" max="1" width="16.28515625" bestFit="1" customWidth="1"/>
    <col min="2" max="2" width="10.85546875" bestFit="1" customWidth="1"/>
    <col min="3" max="3" width="15.140625" bestFit="1" customWidth="1"/>
    <col min="4" max="4" width="15.5703125" bestFit="1" customWidth="1"/>
    <col min="5" max="5" width="17" bestFit="1" customWidth="1"/>
    <col min="6" max="6" width="14.28515625" bestFit="1" customWidth="1"/>
    <col min="7" max="7" width="12" bestFit="1" customWidth="1"/>
    <col min="8" max="8" width="19.42578125" bestFit="1" customWidth="1"/>
    <col min="9" max="9" width="16.140625" bestFit="1" customWidth="1"/>
    <col min="10" max="10" width="17.5703125" bestFit="1" customWidth="1"/>
    <col min="11" max="11" width="15.140625" bestFit="1" customWidth="1"/>
    <col min="12" max="12" width="12" bestFit="1" customWidth="1"/>
    <col min="13" max="13" width="16.42578125" bestFit="1" customWidth="1"/>
    <col min="14" max="14" width="22" bestFit="1" customWidth="1"/>
    <col min="15" max="15" width="15.42578125" bestFit="1" customWidth="1"/>
  </cols>
  <sheetData>
    <row r="1" spans="1:15" x14ac:dyDescent="0.25">
      <c r="A1" s="2" t="s">
        <v>20</v>
      </c>
      <c r="B1" t="s">
        <v>0</v>
      </c>
      <c r="C1" t="s">
        <v>1</v>
      </c>
      <c r="D1" t="s">
        <v>2</v>
      </c>
      <c r="E1" t="s">
        <v>3</v>
      </c>
      <c r="F1" s="2" t="s">
        <v>19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t="s">
        <v>18</v>
      </c>
      <c r="B2">
        <v>1</v>
      </c>
      <c r="C2">
        <v>1</v>
      </c>
      <c r="D2">
        <v>1</v>
      </c>
      <c r="E2">
        <v>5</v>
      </c>
      <c r="F2">
        <v>0</v>
      </c>
      <c r="G2">
        <v>5000</v>
      </c>
      <c r="H2">
        <v>12.5</v>
      </c>
      <c r="I2">
        <v>5</v>
      </c>
      <c r="J2">
        <v>78</v>
      </c>
      <c r="K2">
        <v>1.2820512820512799</v>
      </c>
      <c r="L2">
        <v>6.8910256410256396</v>
      </c>
      <c r="M2">
        <v>5.3445512820512802</v>
      </c>
      <c r="N2">
        <v>0</v>
      </c>
      <c r="O2">
        <v>5</v>
      </c>
    </row>
    <row r="3" spans="1:15" x14ac:dyDescent="0.25">
      <c r="A3" t="s">
        <v>18</v>
      </c>
      <c r="B3">
        <v>1</v>
      </c>
      <c r="C3">
        <v>2</v>
      </c>
      <c r="D3">
        <v>7</v>
      </c>
      <c r="E3">
        <v>5</v>
      </c>
      <c r="F3">
        <v>30</v>
      </c>
      <c r="G3">
        <v>5000</v>
      </c>
      <c r="H3">
        <v>12.5</v>
      </c>
      <c r="I3">
        <v>5</v>
      </c>
      <c r="J3">
        <v>78</v>
      </c>
      <c r="K3">
        <v>1.2820512820512799</v>
      </c>
      <c r="L3">
        <v>6.8910256410256396</v>
      </c>
      <c r="M3">
        <v>5.3445512820512802</v>
      </c>
      <c r="N3">
        <v>6.8910256410256304E-2</v>
      </c>
      <c r="O3">
        <v>5</v>
      </c>
    </row>
    <row r="4" spans="1:15" x14ac:dyDescent="0.25">
      <c r="A4" t="s">
        <v>18</v>
      </c>
      <c r="B4">
        <v>1</v>
      </c>
      <c r="C4">
        <v>3</v>
      </c>
      <c r="D4">
        <v>8</v>
      </c>
      <c r="E4">
        <v>5</v>
      </c>
      <c r="F4">
        <v>35</v>
      </c>
      <c r="G4">
        <v>5000</v>
      </c>
      <c r="H4">
        <v>12.5</v>
      </c>
      <c r="I4">
        <v>5</v>
      </c>
      <c r="J4">
        <v>78</v>
      </c>
      <c r="K4">
        <v>1.2820512820512799</v>
      </c>
      <c r="L4">
        <v>6.8910256410256396</v>
      </c>
      <c r="M4">
        <v>5.3445512820512802</v>
      </c>
      <c r="N4">
        <v>0.137820512820512</v>
      </c>
      <c r="O4">
        <v>5</v>
      </c>
    </row>
    <row r="5" spans="1:15" x14ac:dyDescent="0.25">
      <c r="A5" t="s">
        <v>18</v>
      </c>
      <c r="B5">
        <v>1</v>
      </c>
      <c r="C5">
        <v>4</v>
      </c>
      <c r="D5">
        <v>9</v>
      </c>
      <c r="E5">
        <v>5</v>
      </c>
      <c r="F5">
        <v>40</v>
      </c>
      <c r="G5">
        <v>5000</v>
      </c>
      <c r="H5">
        <v>12.5</v>
      </c>
      <c r="I5">
        <v>5</v>
      </c>
      <c r="J5">
        <v>78</v>
      </c>
      <c r="K5">
        <v>1.2820512820512799</v>
      </c>
      <c r="L5">
        <v>6.8910256410256396</v>
      </c>
      <c r="M5">
        <v>5.3445512820512802</v>
      </c>
      <c r="N5">
        <v>0.206730769230769</v>
      </c>
      <c r="O5">
        <v>5</v>
      </c>
    </row>
    <row r="6" spans="1:15" x14ac:dyDescent="0.25">
      <c r="A6" t="s">
        <v>18</v>
      </c>
      <c r="B6">
        <v>1</v>
      </c>
      <c r="C6">
        <v>5</v>
      </c>
      <c r="D6">
        <v>10</v>
      </c>
      <c r="E6">
        <v>5</v>
      </c>
      <c r="F6">
        <v>45</v>
      </c>
      <c r="G6">
        <v>5000</v>
      </c>
      <c r="H6">
        <v>12.5</v>
      </c>
      <c r="I6">
        <v>5</v>
      </c>
      <c r="J6">
        <v>78</v>
      </c>
      <c r="K6">
        <v>1.2820512820512799</v>
      </c>
      <c r="L6">
        <v>6.8910256410256396</v>
      </c>
      <c r="M6">
        <v>5.3445512820512802</v>
      </c>
      <c r="N6">
        <v>0</v>
      </c>
      <c r="O6">
        <v>5</v>
      </c>
    </row>
    <row r="7" spans="1:15" x14ac:dyDescent="0.25">
      <c r="A7" t="s">
        <v>18</v>
      </c>
      <c r="B7">
        <v>1</v>
      </c>
      <c r="C7">
        <v>6</v>
      </c>
      <c r="D7">
        <v>97</v>
      </c>
      <c r="E7">
        <v>5</v>
      </c>
      <c r="F7">
        <v>3973</v>
      </c>
      <c r="G7">
        <v>5000</v>
      </c>
      <c r="H7">
        <v>12.5</v>
      </c>
      <c r="I7">
        <v>5</v>
      </c>
      <c r="J7">
        <v>78</v>
      </c>
      <c r="K7">
        <v>1.2820512820512799</v>
      </c>
      <c r="L7">
        <v>6.8910256410256396</v>
      </c>
      <c r="M7">
        <v>5.3445512820512802</v>
      </c>
      <c r="N7">
        <v>0</v>
      </c>
      <c r="O7">
        <v>5</v>
      </c>
    </row>
    <row r="8" spans="1:15" x14ac:dyDescent="0.25">
      <c r="A8" t="s">
        <v>18</v>
      </c>
      <c r="B8">
        <v>1</v>
      </c>
      <c r="C8">
        <v>7</v>
      </c>
      <c r="D8">
        <v>98</v>
      </c>
      <c r="E8">
        <v>5</v>
      </c>
      <c r="F8">
        <v>3978</v>
      </c>
      <c r="G8">
        <v>5000</v>
      </c>
      <c r="H8">
        <v>12.5</v>
      </c>
      <c r="I8">
        <v>5</v>
      </c>
      <c r="J8">
        <v>78</v>
      </c>
      <c r="K8">
        <v>1.2820512820512799</v>
      </c>
      <c r="L8">
        <v>6.8910256410256396</v>
      </c>
      <c r="M8">
        <v>5.3445512820512802</v>
      </c>
      <c r="N8">
        <v>0</v>
      </c>
      <c r="O8">
        <v>5</v>
      </c>
    </row>
    <row r="9" spans="1:15" x14ac:dyDescent="0.25">
      <c r="A9" t="s">
        <v>18</v>
      </c>
      <c r="B9">
        <v>1</v>
      </c>
      <c r="C9">
        <v>8</v>
      </c>
      <c r="D9">
        <v>99</v>
      </c>
      <c r="E9">
        <v>5</v>
      </c>
      <c r="F9">
        <v>3983</v>
      </c>
      <c r="G9">
        <v>5000</v>
      </c>
      <c r="H9">
        <v>12.5</v>
      </c>
      <c r="I9">
        <v>5</v>
      </c>
      <c r="J9">
        <v>78</v>
      </c>
      <c r="K9">
        <v>1.2820512820512799</v>
      </c>
      <c r="L9">
        <v>6.8910256410256396</v>
      </c>
      <c r="M9">
        <v>5.3445512820512802</v>
      </c>
      <c r="N9">
        <v>0</v>
      </c>
      <c r="O9">
        <v>5</v>
      </c>
    </row>
    <row r="10" spans="1:15" x14ac:dyDescent="0.25">
      <c r="A10" t="s">
        <v>18</v>
      </c>
      <c r="B10">
        <v>2</v>
      </c>
      <c r="C10">
        <v>1</v>
      </c>
      <c r="D10">
        <v>2</v>
      </c>
      <c r="E10">
        <v>5</v>
      </c>
      <c r="F10">
        <v>5</v>
      </c>
      <c r="G10">
        <v>5000</v>
      </c>
      <c r="H10">
        <v>12.5</v>
      </c>
      <c r="I10">
        <v>5</v>
      </c>
      <c r="J10">
        <v>78</v>
      </c>
      <c r="K10">
        <v>2.5641025641025599</v>
      </c>
      <c r="L10">
        <v>7.5320512820512802</v>
      </c>
      <c r="M10">
        <v>5.3766025641025603</v>
      </c>
      <c r="N10">
        <v>0</v>
      </c>
      <c r="O10">
        <v>5</v>
      </c>
    </row>
    <row r="11" spans="1:15" x14ac:dyDescent="0.25">
      <c r="A11" t="s">
        <v>18</v>
      </c>
      <c r="B11">
        <v>2</v>
      </c>
      <c r="C11">
        <v>2</v>
      </c>
      <c r="D11">
        <v>3</v>
      </c>
      <c r="E11">
        <v>5</v>
      </c>
      <c r="F11">
        <v>10</v>
      </c>
      <c r="G11">
        <v>5000</v>
      </c>
      <c r="H11">
        <v>12.5</v>
      </c>
      <c r="I11">
        <v>5</v>
      </c>
      <c r="J11">
        <v>78</v>
      </c>
      <c r="K11">
        <v>2.5641025641025599</v>
      </c>
      <c r="L11">
        <v>7.5320512820512802</v>
      </c>
      <c r="M11">
        <v>5.3766025641025603</v>
      </c>
      <c r="N11">
        <v>7.5320512820512706E-2</v>
      </c>
      <c r="O11">
        <v>5</v>
      </c>
    </row>
    <row r="12" spans="1:15" x14ac:dyDescent="0.25">
      <c r="A12" t="s">
        <v>18</v>
      </c>
      <c r="B12">
        <v>2</v>
      </c>
      <c r="C12">
        <v>3</v>
      </c>
      <c r="D12">
        <v>4</v>
      </c>
      <c r="E12">
        <v>5</v>
      </c>
      <c r="F12">
        <v>15</v>
      </c>
      <c r="G12">
        <v>5000</v>
      </c>
      <c r="H12">
        <v>12.5</v>
      </c>
      <c r="I12">
        <v>5</v>
      </c>
      <c r="J12">
        <v>78</v>
      </c>
      <c r="K12">
        <v>2.5641025641025599</v>
      </c>
      <c r="L12">
        <v>7.5320512820512802</v>
      </c>
      <c r="M12">
        <v>5.3766025641025603</v>
      </c>
      <c r="N12">
        <v>0.15064102564102499</v>
      </c>
      <c r="O12">
        <v>5</v>
      </c>
    </row>
    <row r="13" spans="1:15" x14ac:dyDescent="0.25">
      <c r="A13" t="s">
        <v>18</v>
      </c>
      <c r="B13">
        <v>2</v>
      </c>
      <c r="C13">
        <v>4</v>
      </c>
      <c r="D13">
        <v>5</v>
      </c>
      <c r="E13">
        <v>5</v>
      </c>
      <c r="F13">
        <v>20</v>
      </c>
      <c r="G13">
        <v>5000</v>
      </c>
      <c r="H13">
        <v>12.5</v>
      </c>
      <c r="I13">
        <v>5</v>
      </c>
      <c r="J13">
        <v>78</v>
      </c>
      <c r="K13">
        <v>2.5641025641025599</v>
      </c>
      <c r="L13">
        <v>7.5320512820512802</v>
      </c>
      <c r="M13">
        <v>5.3766025641025603</v>
      </c>
      <c r="N13">
        <v>0.22596153846153799</v>
      </c>
      <c r="O13">
        <v>5</v>
      </c>
    </row>
    <row r="14" spans="1:15" x14ac:dyDescent="0.25">
      <c r="A14" t="s">
        <v>18</v>
      </c>
      <c r="B14">
        <v>2</v>
      </c>
      <c r="C14">
        <v>5</v>
      </c>
      <c r="D14">
        <v>6</v>
      </c>
      <c r="E14">
        <v>5</v>
      </c>
      <c r="F14">
        <v>25</v>
      </c>
      <c r="G14">
        <v>5000</v>
      </c>
      <c r="H14">
        <v>12.5</v>
      </c>
      <c r="I14">
        <v>5</v>
      </c>
      <c r="J14">
        <v>78</v>
      </c>
      <c r="K14">
        <v>2.5641025641025599</v>
      </c>
      <c r="L14">
        <v>7.5320512820512802</v>
      </c>
      <c r="M14">
        <v>5.3766025641025603</v>
      </c>
      <c r="N14">
        <v>0</v>
      </c>
      <c r="O14">
        <v>5</v>
      </c>
    </row>
    <row r="15" spans="1:15" x14ac:dyDescent="0.25">
      <c r="A15" t="s">
        <v>18</v>
      </c>
      <c r="B15">
        <v>2</v>
      </c>
      <c r="C15">
        <v>6</v>
      </c>
      <c r="D15">
        <v>20</v>
      </c>
      <c r="E15">
        <v>5</v>
      </c>
      <c r="F15">
        <v>192</v>
      </c>
      <c r="G15">
        <v>5000</v>
      </c>
      <c r="H15">
        <v>12.5</v>
      </c>
      <c r="I15">
        <v>5</v>
      </c>
      <c r="J15">
        <v>78</v>
      </c>
      <c r="K15">
        <v>2.5641025641025599</v>
      </c>
      <c r="L15">
        <v>7.5320512820512802</v>
      </c>
      <c r="M15">
        <v>5.3766025641025603</v>
      </c>
      <c r="N15">
        <v>0</v>
      </c>
      <c r="O15">
        <v>5</v>
      </c>
    </row>
    <row r="16" spans="1:15" x14ac:dyDescent="0.25">
      <c r="A16" t="s">
        <v>18</v>
      </c>
      <c r="B16">
        <v>2</v>
      </c>
      <c r="C16">
        <v>7</v>
      </c>
      <c r="D16">
        <v>21</v>
      </c>
      <c r="E16">
        <v>5</v>
      </c>
      <c r="F16">
        <v>261</v>
      </c>
      <c r="G16">
        <v>5000</v>
      </c>
      <c r="H16">
        <v>12.5</v>
      </c>
      <c r="I16">
        <v>5</v>
      </c>
      <c r="J16">
        <v>78</v>
      </c>
      <c r="K16">
        <v>2.5641025641025599</v>
      </c>
      <c r="L16">
        <v>7.5320512820512802</v>
      </c>
      <c r="M16">
        <v>5.3766025641025603</v>
      </c>
      <c r="N16">
        <v>0</v>
      </c>
      <c r="O16">
        <v>5</v>
      </c>
    </row>
    <row r="17" spans="1:15" x14ac:dyDescent="0.25">
      <c r="A17" t="s">
        <v>18</v>
      </c>
      <c r="B17">
        <v>2</v>
      </c>
      <c r="C17">
        <v>8</v>
      </c>
      <c r="D17">
        <v>22</v>
      </c>
      <c r="E17">
        <v>5</v>
      </c>
      <c r="F17">
        <v>266</v>
      </c>
      <c r="G17">
        <v>5000</v>
      </c>
      <c r="H17">
        <v>12.5</v>
      </c>
      <c r="I17">
        <v>5</v>
      </c>
      <c r="J17">
        <v>78</v>
      </c>
      <c r="K17">
        <v>2.5641025641025599</v>
      </c>
      <c r="L17">
        <v>7.5320512820512802</v>
      </c>
      <c r="M17">
        <v>5.3766025641025603</v>
      </c>
      <c r="N17">
        <v>0</v>
      </c>
      <c r="O17">
        <v>5</v>
      </c>
    </row>
    <row r="18" spans="1:15" x14ac:dyDescent="0.25">
      <c r="A18" t="s">
        <v>18</v>
      </c>
      <c r="B18">
        <v>2</v>
      </c>
      <c r="C18">
        <v>9</v>
      </c>
      <c r="D18">
        <v>23</v>
      </c>
      <c r="E18">
        <v>5</v>
      </c>
      <c r="F18">
        <v>271</v>
      </c>
      <c r="G18">
        <v>5000</v>
      </c>
      <c r="H18">
        <v>12.5</v>
      </c>
      <c r="I18">
        <v>5</v>
      </c>
      <c r="J18">
        <v>78</v>
      </c>
      <c r="K18">
        <v>2.5641025641025599</v>
      </c>
      <c r="L18">
        <v>7.5320512820512802</v>
      </c>
      <c r="M18">
        <v>5.3766025641025603</v>
      </c>
      <c r="N18">
        <v>0</v>
      </c>
      <c r="O18">
        <v>5</v>
      </c>
    </row>
    <row r="19" spans="1:15" x14ac:dyDescent="0.25">
      <c r="A19" t="s">
        <v>18</v>
      </c>
      <c r="B19">
        <v>3</v>
      </c>
      <c r="C19">
        <v>1</v>
      </c>
      <c r="D19">
        <v>11</v>
      </c>
      <c r="E19">
        <v>4</v>
      </c>
      <c r="F19">
        <v>50</v>
      </c>
      <c r="G19">
        <v>5000</v>
      </c>
      <c r="H19">
        <v>12.5</v>
      </c>
      <c r="I19">
        <v>5</v>
      </c>
      <c r="J19">
        <v>78</v>
      </c>
      <c r="K19">
        <v>3.84615384615384</v>
      </c>
      <c r="L19">
        <v>8.1730769230769198</v>
      </c>
      <c r="M19">
        <v>4.3269230769230704</v>
      </c>
      <c r="N19">
        <v>0</v>
      </c>
      <c r="O19">
        <v>4</v>
      </c>
    </row>
    <row r="20" spans="1:15" x14ac:dyDescent="0.25">
      <c r="A20" t="s">
        <v>18</v>
      </c>
      <c r="B20">
        <v>3</v>
      </c>
      <c r="C20">
        <v>2</v>
      </c>
      <c r="D20">
        <v>12</v>
      </c>
      <c r="E20">
        <v>4</v>
      </c>
      <c r="F20">
        <v>54</v>
      </c>
      <c r="G20">
        <v>5000</v>
      </c>
      <c r="H20">
        <v>12.5</v>
      </c>
      <c r="I20">
        <v>5</v>
      </c>
      <c r="J20">
        <v>78</v>
      </c>
      <c r="K20">
        <v>3.84615384615384</v>
      </c>
      <c r="L20">
        <v>8.1730769230769198</v>
      </c>
      <c r="M20">
        <v>4.3269230769230704</v>
      </c>
      <c r="N20">
        <v>6.5384615384615305E-2</v>
      </c>
      <c r="O20">
        <v>4</v>
      </c>
    </row>
    <row r="21" spans="1:15" x14ac:dyDescent="0.25">
      <c r="A21" t="s">
        <v>18</v>
      </c>
      <c r="B21">
        <v>4</v>
      </c>
      <c r="C21">
        <v>1</v>
      </c>
      <c r="D21">
        <v>13</v>
      </c>
      <c r="E21">
        <v>3</v>
      </c>
      <c r="F21">
        <v>58</v>
      </c>
      <c r="G21">
        <v>5000</v>
      </c>
      <c r="H21">
        <v>12.5</v>
      </c>
      <c r="I21">
        <v>5</v>
      </c>
      <c r="J21">
        <v>78</v>
      </c>
      <c r="K21">
        <v>5.1282051282051198</v>
      </c>
      <c r="L21">
        <v>8.8141025641025603</v>
      </c>
      <c r="M21">
        <v>3.26442307692307</v>
      </c>
      <c r="N21">
        <v>0</v>
      </c>
      <c r="O21">
        <v>3</v>
      </c>
    </row>
    <row r="22" spans="1:15" x14ac:dyDescent="0.25">
      <c r="A22" t="s">
        <v>18</v>
      </c>
      <c r="B22">
        <v>4</v>
      </c>
      <c r="C22">
        <v>2</v>
      </c>
      <c r="D22">
        <v>14</v>
      </c>
      <c r="E22">
        <v>3</v>
      </c>
      <c r="F22">
        <v>61</v>
      </c>
      <c r="G22">
        <v>5000</v>
      </c>
      <c r="H22">
        <v>12.5</v>
      </c>
      <c r="I22">
        <v>5</v>
      </c>
      <c r="J22">
        <v>78</v>
      </c>
      <c r="K22">
        <v>5.1282051282051198</v>
      </c>
      <c r="L22">
        <v>8.8141025641025603</v>
      </c>
      <c r="M22">
        <v>3.26442307692307</v>
      </c>
      <c r="N22">
        <v>5.2884615384615398E-2</v>
      </c>
      <c r="O22">
        <v>3</v>
      </c>
    </row>
    <row r="23" spans="1:15" x14ac:dyDescent="0.25">
      <c r="A23" t="s">
        <v>18</v>
      </c>
      <c r="B23">
        <v>5</v>
      </c>
      <c r="C23">
        <v>1</v>
      </c>
      <c r="D23">
        <v>15</v>
      </c>
      <c r="E23">
        <v>10</v>
      </c>
      <c r="F23">
        <v>64</v>
      </c>
      <c r="G23">
        <v>5000</v>
      </c>
      <c r="H23">
        <v>12.5</v>
      </c>
      <c r="I23">
        <v>5</v>
      </c>
      <c r="J23">
        <v>78</v>
      </c>
      <c r="K23">
        <v>6.4102564102564097</v>
      </c>
      <c r="L23">
        <v>9.4551282051282008</v>
      </c>
      <c r="M23">
        <v>10.9455128205128</v>
      </c>
      <c r="N23">
        <v>0</v>
      </c>
      <c r="O23">
        <v>10</v>
      </c>
    </row>
    <row r="24" spans="1:15" x14ac:dyDescent="0.25">
      <c r="A24" t="s">
        <v>18</v>
      </c>
      <c r="B24">
        <v>5</v>
      </c>
      <c r="C24">
        <v>2</v>
      </c>
      <c r="D24">
        <v>16</v>
      </c>
      <c r="E24">
        <v>10</v>
      </c>
      <c r="F24">
        <v>74</v>
      </c>
      <c r="G24">
        <v>5000</v>
      </c>
      <c r="H24">
        <v>12.5</v>
      </c>
      <c r="I24">
        <v>5</v>
      </c>
      <c r="J24">
        <v>78</v>
      </c>
      <c r="K24">
        <v>6.4102564102564097</v>
      </c>
      <c r="L24">
        <v>9.4551282051282008</v>
      </c>
      <c r="M24">
        <v>10.9455128205128</v>
      </c>
      <c r="N24">
        <v>0.18910256410256401</v>
      </c>
      <c r="O24">
        <v>10</v>
      </c>
    </row>
    <row r="25" spans="1:15" x14ac:dyDescent="0.25">
      <c r="A25" t="s">
        <v>18</v>
      </c>
      <c r="B25">
        <v>5</v>
      </c>
      <c r="C25">
        <v>3</v>
      </c>
      <c r="D25">
        <v>17</v>
      </c>
      <c r="E25">
        <v>10</v>
      </c>
      <c r="F25">
        <v>84</v>
      </c>
      <c r="G25">
        <v>5000</v>
      </c>
      <c r="H25">
        <v>12.5</v>
      </c>
      <c r="I25">
        <v>5</v>
      </c>
      <c r="J25">
        <v>78</v>
      </c>
      <c r="K25">
        <v>6.4102564102564097</v>
      </c>
      <c r="L25">
        <v>9.4551282051282008</v>
      </c>
      <c r="M25">
        <v>10.9455128205128</v>
      </c>
      <c r="N25">
        <v>0.37820512820512803</v>
      </c>
      <c r="O25">
        <v>10</v>
      </c>
    </row>
    <row r="26" spans="1:15" x14ac:dyDescent="0.25">
      <c r="A26" t="s">
        <v>18</v>
      </c>
      <c r="B26">
        <v>6</v>
      </c>
      <c r="C26">
        <v>1</v>
      </c>
      <c r="D26">
        <v>18</v>
      </c>
      <c r="E26">
        <v>45</v>
      </c>
      <c r="F26">
        <v>94</v>
      </c>
      <c r="G26">
        <v>5000</v>
      </c>
      <c r="H26">
        <v>12.5</v>
      </c>
      <c r="I26">
        <v>5</v>
      </c>
      <c r="J26">
        <v>78</v>
      </c>
      <c r="K26">
        <v>7.6923076923076898</v>
      </c>
      <c r="L26">
        <v>10.096153846153801</v>
      </c>
      <c r="M26">
        <v>49.543269230769198</v>
      </c>
      <c r="N26">
        <v>0</v>
      </c>
      <c r="O26">
        <v>49</v>
      </c>
    </row>
    <row r="27" spans="1:15" x14ac:dyDescent="0.25">
      <c r="A27" t="s">
        <v>18</v>
      </c>
      <c r="B27">
        <v>6</v>
      </c>
      <c r="C27">
        <v>2</v>
      </c>
      <c r="D27">
        <v>19</v>
      </c>
      <c r="E27">
        <v>45</v>
      </c>
      <c r="F27">
        <v>143</v>
      </c>
      <c r="G27">
        <v>5000</v>
      </c>
      <c r="H27">
        <v>12.5</v>
      </c>
      <c r="I27">
        <v>5</v>
      </c>
      <c r="J27">
        <v>78</v>
      </c>
      <c r="K27">
        <v>7.6923076923076898</v>
      </c>
      <c r="L27">
        <v>10.096153846153801</v>
      </c>
      <c r="M27">
        <v>49.543269230769198</v>
      </c>
      <c r="N27">
        <v>0.90865384615384603</v>
      </c>
      <c r="O27">
        <v>49</v>
      </c>
    </row>
    <row r="28" spans="1:15" x14ac:dyDescent="0.25">
      <c r="A28" t="s">
        <v>18</v>
      </c>
      <c r="B28">
        <v>7</v>
      </c>
      <c r="C28">
        <v>1</v>
      </c>
      <c r="D28">
        <v>24</v>
      </c>
      <c r="E28">
        <v>30</v>
      </c>
      <c r="F28">
        <v>276</v>
      </c>
      <c r="G28">
        <v>5000</v>
      </c>
      <c r="H28">
        <v>12.5</v>
      </c>
      <c r="I28">
        <v>5</v>
      </c>
      <c r="J28">
        <v>78</v>
      </c>
      <c r="K28">
        <v>8.9743589743589691</v>
      </c>
      <c r="L28">
        <v>10.7371794871794</v>
      </c>
      <c r="M28">
        <v>33.221153846153797</v>
      </c>
      <c r="N28">
        <v>0</v>
      </c>
      <c r="O28">
        <v>33</v>
      </c>
    </row>
    <row r="29" spans="1:15" x14ac:dyDescent="0.25">
      <c r="A29" t="s">
        <v>18</v>
      </c>
      <c r="B29">
        <v>7</v>
      </c>
      <c r="C29">
        <v>2</v>
      </c>
      <c r="D29">
        <v>25</v>
      </c>
      <c r="E29">
        <v>30</v>
      </c>
      <c r="F29">
        <v>309</v>
      </c>
      <c r="G29">
        <v>5000</v>
      </c>
      <c r="H29">
        <v>12.5</v>
      </c>
      <c r="I29">
        <v>5</v>
      </c>
      <c r="J29">
        <v>78</v>
      </c>
      <c r="K29">
        <v>8.9743589743589691</v>
      </c>
      <c r="L29">
        <v>10.7371794871794</v>
      </c>
      <c r="M29">
        <v>33.221153846153797</v>
      </c>
      <c r="N29">
        <v>0.64423076923076905</v>
      </c>
      <c r="O29">
        <v>33</v>
      </c>
    </row>
    <row r="30" spans="1:15" x14ac:dyDescent="0.25">
      <c r="A30" t="s">
        <v>18</v>
      </c>
      <c r="B30">
        <v>7</v>
      </c>
      <c r="C30">
        <v>3</v>
      </c>
      <c r="D30">
        <v>26</v>
      </c>
      <c r="E30">
        <v>30</v>
      </c>
      <c r="F30">
        <v>342</v>
      </c>
      <c r="G30">
        <v>5000</v>
      </c>
      <c r="H30">
        <v>12.5</v>
      </c>
      <c r="I30">
        <v>5</v>
      </c>
      <c r="J30">
        <v>78</v>
      </c>
      <c r="K30">
        <v>8.9743589743589691</v>
      </c>
      <c r="L30">
        <v>10.7371794871794</v>
      </c>
      <c r="M30">
        <v>33.221153846153797</v>
      </c>
      <c r="N30">
        <v>1.2884615384615301</v>
      </c>
      <c r="O30">
        <v>32</v>
      </c>
    </row>
    <row r="31" spans="1:15" x14ac:dyDescent="0.25">
      <c r="A31" t="s">
        <v>18</v>
      </c>
      <c r="B31">
        <v>7</v>
      </c>
      <c r="C31">
        <v>4</v>
      </c>
      <c r="D31">
        <v>27</v>
      </c>
      <c r="E31">
        <v>30</v>
      </c>
      <c r="F31">
        <v>374</v>
      </c>
      <c r="G31">
        <v>5000</v>
      </c>
      <c r="H31">
        <v>12.5</v>
      </c>
      <c r="I31">
        <v>5</v>
      </c>
      <c r="J31">
        <v>78</v>
      </c>
      <c r="K31">
        <v>8.9743589743589691</v>
      </c>
      <c r="L31">
        <v>10.7371794871794</v>
      </c>
      <c r="M31">
        <v>33.221153846153797</v>
      </c>
      <c r="N31">
        <v>1.9326923076922999</v>
      </c>
      <c r="O31">
        <v>32</v>
      </c>
    </row>
    <row r="32" spans="1:15" x14ac:dyDescent="0.25">
      <c r="A32" t="s">
        <v>18</v>
      </c>
      <c r="B32">
        <v>7</v>
      </c>
      <c r="C32">
        <v>5</v>
      </c>
      <c r="D32">
        <v>28</v>
      </c>
      <c r="E32">
        <v>30</v>
      </c>
      <c r="F32">
        <v>406</v>
      </c>
      <c r="G32">
        <v>5000</v>
      </c>
      <c r="H32">
        <v>12.5</v>
      </c>
      <c r="I32">
        <v>5</v>
      </c>
      <c r="J32">
        <v>78</v>
      </c>
      <c r="K32">
        <v>8.9743589743589691</v>
      </c>
      <c r="L32">
        <v>10.7371794871794</v>
      </c>
      <c r="M32">
        <v>33.221153846153797</v>
      </c>
      <c r="N32">
        <v>0</v>
      </c>
      <c r="O32">
        <v>30</v>
      </c>
    </row>
    <row r="33" spans="1:15" x14ac:dyDescent="0.25">
      <c r="A33" t="s">
        <v>18</v>
      </c>
      <c r="B33">
        <v>7</v>
      </c>
      <c r="C33">
        <v>6</v>
      </c>
      <c r="D33">
        <v>29</v>
      </c>
      <c r="E33">
        <v>30</v>
      </c>
      <c r="F33">
        <v>436</v>
      </c>
      <c r="G33">
        <v>5000</v>
      </c>
      <c r="H33">
        <v>12.5</v>
      </c>
      <c r="I33">
        <v>5</v>
      </c>
      <c r="J33">
        <v>78</v>
      </c>
      <c r="K33">
        <v>8.9743589743589691</v>
      </c>
      <c r="L33">
        <v>10.7371794871794</v>
      </c>
      <c r="M33">
        <v>33.221153846153797</v>
      </c>
      <c r="N33">
        <v>0</v>
      </c>
      <c r="O33">
        <v>30</v>
      </c>
    </row>
    <row r="34" spans="1:15" x14ac:dyDescent="0.25">
      <c r="A34" t="s">
        <v>18</v>
      </c>
      <c r="B34">
        <v>7</v>
      </c>
      <c r="C34">
        <v>7</v>
      </c>
      <c r="D34">
        <v>104</v>
      </c>
      <c r="E34">
        <v>30</v>
      </c>
      <c r="F34">
        <v>4209</v>
      </c>
      <c r="G34">
        <v>5000</v>
      </c>
      <c r="H34">
        <v>12.5</v>
      </c>
      <c r="I34">
        <v>5</v>
      </c>
      <c r="J34">
        <v>78</v>
      </c>
      <c r="K34">
        <v>8.9743589743589691</v>
      </c>
      <c r="L34">
        <v>10.7371794871794</v>
      </c>
      <c r="M34">
        <v>33.221153846153797</v>
      </c>
      <c r="N34">
        <v>0</v>
      </c>
      <c r="O34">
        <v>30</v>
      </c>
    </row>
    <row r="35" spans="1:15" x14ac:dyDescent="0.25">
      <c r="A35" t="s">
        <v>18</v>
      </c>
      <c r="B35">
        <v>8</v>
      </c>
      <c r="C35">
        <v>1</v>
      </c>
      <c r="D35">
        <v>30</v>
      </c>
      <c r="E35">
        <v>2</v>
      </c>
      <c r="F35">
        <v>466</v>
      </c>
      <c r="G35">
        <v>5000</v>
      </c>
      <c r="H35">
        <v>12.5</v>
      </c>
      <c r="I35">
        <v>5</v>
      </c>
      <c r="J35">
        <v>78</v>
      </c>
      <c r="K35">
        <v>10.2564102564102</v>
      </c>
      <c r="L35">
        <v>11.378205128205099</v>
      </c>
      <c r="M35">
        <v>2.2275641025641</v>
      </c>
      <c r="N35">
        <v>0</v>
      </c>
      <c r="O35">
        <v>2</v>
      </c>
    </row>
    <row r="36" spans="1:15" x14ac:dyDescent="0.25">
      <c r="A36" t="s">
        <v>18</v>
      </c>
      <c r="B36">
        <v>8</v>
      </c>
      <c r="C36">
        <v>2</v>
      </c>
      <c r="D36">
        <v>31</v>
      </c>
      <c r="E36">
        <v>2</v>
      </c>
      <c r="F36">
        <v>468</v>
      </c>
      <c r="G36">
        <v>5000</v>
      </c>
      <c r="H36">
        <v>12.5</v>
      </c>
      <c r="I36">
        <v>5</v>
      </c>
      <c r="J36">
        <v>78</v>
      </c>
      <c r="K36">
        <v>10.2564102564102</v>
      </c>
      <c r="L36">
        <v>11.378205128205099</v>
      </c>
      <c r="M36">
        <v>2.2275641025641</v>
      </c>
      <c r="N36">
        <v>4.5512820512820497E-2</v>
      </c>
      <c r="O36">
        <v>2</v>
      </c>
    </row>
    <row r="37" spans="1:15" x14ac:dyDescent="0.25">
      <c r="A37" t="s">
        <v>18</v>
      </c>
      <c r="B37">
        <v>8</v>
      </c>
      <c r="C37">
        <v>3</v>
      </c>
      <c r="D37">
        <v>32</v>
      </c>
      <c r="E37">
        <v>2</v>
      </c>
      <c r="F37">
        <v>470</v>
      </c>
      <c r="G37">
        <v>5000</v>
      </c>
      <c r="H37">
        <v>12.5</v>
      </c>
      <c r="I37">
        <v>5</v>
      </c>
      <c r="J37">
        <v>78</v>
      </c>
      <c r="K37">
        <v>10.2564102564102</v>
      </c>
      <c r="L37">
        <v>11.378205128205099</v>
      </c>
      <c r="M37">
        <v>2.2275641025641</v>
      </c>
      <c r="N37">
        <v>9.1025641025640994E-2</v>
      </c>
      <c r="O37">
        <v>2</v>
      </c>
    </row>
    <row r="38" spans="1:15" x14ac:dyDescent="0.25">
      <c r="A38" t="s">
        <v>18</v>
      </c>
      <c r="B38">
        <v>8</v>
      </c>
      <c r="C38">
        <v>4</v>
      </c>
      <c r="D38">
        <v>85</v>
      </c>
      <c r="E38">
        <v>2</v>
      </c>
      <c r="F38">
        <v>3659</v>
      </c>
      <c r="G38">
        <v>5000</v>
      </c>
      <c r="H38">
        <v>12.5</v>
      </c>
      <c r="I38">
        <v>5</v>
      </c>
      <c r="J38">
        <v>78</v>
      </c>
      <c r="K38">
        <v>10.2564102564102</v>
      </c>
      <c r="L38">
        <v>11.378205128205099</v>
      </c>
      <c r="M38">
        <v>2.2275641025641</v>
      </c>
      <c r="N38">
        <v>0.136538461538461</v>
      </c>
      <c r="O38">
        <v>2</v>
      </c>
    </row>
    <row r="39" spans="1:15" x14ac:dyDescent="0.25">
      <c r="A39" t="s">
        <v>18</v>
      </c>
      <c r="B39">
        <v>8</v>
      </c>
      <c r="C39">
        <v>5</v>
      </c>
      <c r="D39">
        <v>86</v>
      </c>
      <c r="E39">
        <v>2</v>
      </c>
      <c r="F39">
        <v>3661</v>
      </c>
      <c r="G39">
        <v>5000</v>
      </c>
      <c r="H39">
        <v>12.5</v>
      </c>
      <c r="I39">
        <v>5</v>
      </c>
      <c r="J39">
        <v>78</v>
      </c>
      <c r="K39">
        <v>10.2564102564102</v>
      </c>
      <c r="L39">
        <v>11.378205128205099</v>
      </c>
      <c r="M39">
        <v>2.2275641025641</v>
      </c>
      <c r="N39">
        <v>0</v>
      </c>
      <c r="O39">
        <v>2</v>
      </c>
    </row>
    <row r="40" spans="1:15" x14ac:dyDescent="0.25">
      <c r="A40" t="s">
        <v>18</v>
      </c>
      <c r="B40">
        <v>8</v>
      </c>
      <c r="C40">
        <v>6</v>
      </c>
      <c r="D40">
        <v>88</v>
      </c>
      <c r="E40">
        <v>2</v>
      </c>
      <c r="F40">
        <v>3684</v>
      </c>
      <c r="G40">
        <v>5000</v>
      </c>
      <c r="H40">
        <v>12.5</v>
      </c>
      <c r="I40">
        <v>5</v>
      </c>
      <c r="J40">
        <v>78</v>
      </c>
      <c r="K40">
        <v>10.2564102564102</v>
      </c>
      <c r="L40">
        <v>11.378205128205099</v>
      </c>
      <c r="M40">
        <v>2.2275641025641</v>
      </c>
      <c r="N40">
        <v>0</v>
      </c>
      <c r="O40">
        <v>2</v>
      </c>
    </row>
    <row r="41" spans="1:15" x14ac:dyDescent="0.25">
      <c r="A41" t="s">
        <v>18</v>
      </c>
      <c r="B41">
        <v>8</v>
      </c>
      <c r="C41">
        <v>7</v>
      </c>
      <c r="D41">
        <v>89</v>
      </c>
      <c r="E41">
        <v>2</v>
      </c>
      <c r="F41">
        <v>3686</v>
      </c>
      <c r="G41">
        <v>5000</v>
      </c>
      <c r="H41">
        <v>12.5</v>
      </c>
      <c r="I41">
        <v>5</v>
      </c>
      <c r="J41">
        <v>78</v>
      </c>
      <c r="K41">
        <v>10.2564102564102</v>
      </c>
      <c r="L41">
        <v>11.378205128205099</v>
      </c>
      <c r="M41">
        <v>2.2275641025641</v>
      </c>
      <c r="N41">
        <v>0</v>
      </c>
      <c r="O41">
        <v>2</v>
      </c>
    </row>
    <row r="42" spans="1:15" x14ac:dyDescent="0.25">
      <c r="A42" t="s">
        <v>18</v>
      </c>
      <c r="B42">
        <v>8</v>
      </c>
      <c r="C42">
        <v>8</v>
      </c>
      <c r="D42">
        <v>105</v>
      </c>
      <c r="E42">
        <v>2</v>
      </c>
      <c r="F42">
        <v>4239</v>
      </c>
      <c r="G42">
        <v>5000</v>
      </c>
      <c r="H42">
        <v>12.5</v>
      </c>
      <c r="I42">
        <v>5</v>
      </c>
      <c r="J42">
        <v>78</v>
      </c>
      <c r="K42">
        <v>10.2564102564102</v>
      </c>
      <c r="L42">
        <v>11.378205128205099</v>
      </c>
      <c r="M42">
        <v>2.2275641025641</v>
      </c>
      <c r="N42">
        <v>0</v>
      </c>
      <c r="O42">
        <v>2</v>
      </c>
    </row>
    <row r="43" spans="1:15" x14ac:dyDescent="0.25">
      <c r="A43" t="s">
        <v>18</v>
      </c>
      <c r="B43">
        <v>8</v>
      </c>
      <c r="C43">
        <v>9</v>
      </c>
      <c r="D43">
        <v>106</v>
      </c>
      <c r="E43">
        <v>2</v>
      </c>
      <c r="F43">
        <v>4241</v>
      </c>
      <c r="G43">
        <v>5000</v>
      </c>
      <c r="H43">
        <v>12.5</v>
      </c>
      <c r="I43">
        <v>5</v>
      </c>
      <c r="J43">
        <v>78</v>
      </c>
      <c r="K43">
        <v>10.2564102564102</v>
      </c>
      <c r="L43">
        <v>11.378205128205099</v>
      </c>
      <c r="M43">
        <v>2.2275641025641</v>
      </c>
      <c r="N43">
        <v>0</v>
      </c>
      <c r="O43">
        <v>2</v>
      </c>
    </row>
    <row r="44" spans="1:15" x14ac:dyDescent="0.25">
      <c r="A44" t="s">
        <v>18</v>
      </c>
      <c r="B44">
        <v>9</v>
      </c>
      <c r="C44">
        <v>1</v>
      </c>
      <c r="D44">
        <v>33</v>
      </c>
      <c r="E44">
        <v>4</v>
      </c>
      <c r="F44">
        <v>472</v>
      </c>
      <c r="G44">
        <v>5000</v>
      </c>
      <c r="H44">
        <v>12.5</v>
      </c>
      <c r="I44">
        <v>5</v>
      </c>
      <c r="J44">
        <v>78</v>
      </c>
      <c r="K44">
        <v>11.538461538461499</v>
      </c>
      <c r="L44">
        <v>12.019230769230701</v>
      </c>
      <c r="M44">
        <v>4.4807692307692299</v>
      </c>
      <c r="N44">
        <v>0</v>
      </c>
      <c r="O44">
        <v>4</v>
      </c>
    </row>
    <row r="45" spans="1:15" x14ac:dyDescent="0.25">
      <c r="A45" t="s">
        <v>18</v>
      </c>
      <c r="B45">
        <v>10</v>
      </c>
      <c r="C45">
        <v>1</v>
      </c>
      <c r="D45">
        <v>34</v>
      </c>
      <c r="E45">
        <v>30</v>
      </c>
      <c r="F45">
        <v>476</v>
      </c>
      <c r="G45">
        <v>5000</v>
      </c>
      <c r="H45">
        <v>12.5</v>
      </c>
      <c r="I45">
        <v>5</v>
      </c>
      <c r="J45">
        <v>78</v>
      </c>
      <c r="K45">
        <v>12.8205128205128</v>
      </c>
      <c r="L45">
        <v>12.6602564102564</v>
      </c>
      <c r="M45">
        <v>33.798076923076898</v>
      </c>
      <c r="N45">
        <v>0</v>
      </c>
      <c r="O45">
        <v>33</v>
      </c>
    </row>
    <row r="46" spans="1:15" x14ac:dyDescent="0.25">
      <c r="A46" t="s">
        <v>18</v>
      </c>
      <c r="B46">
        <v>10</v>
      </c>
      <c r="C46">
        <v>2</v>
      </c>
      <c r="D46">
        <v>35</v>
      </c>
      <c r="E46">
        <v>30</v>
      </c>
      <c r="F46">
        <v>509</v>
      </c>
      <c r="G46">
        <v>5000</v>
      </c>
      <c r="H46">
        <v>12.5</v>
      </c>
      <c r="I46">
        <v>5</v>
      </c>
      <c r="J46">
        <v>78</v>
      </c>
      <c r="K46">
        <v>12.8205128205128</v>
      </c>
      <c r="L46">
        <v>12.6602564102564</v>
      </c>
      <c r="M46">
        <v>33.798076923076898</v>
      </c>
      <c r="N46">
        <v>0.75961538461538303</v>
      </c>
      <c r="O46">
        <v>33</v>
      </c>
    </row>
    <row r="47" spans="1:15" x14ac:dyDescent="0.25">
      <c r="A47" t="s">
        <v>18</v>
      </c>
      <c r="B47">
        <v>11</v>
      </c>
      <c r="C47">
        <v>1</v>
      </c>
      <c r="D47">
        <v>36</v>
      </c>
      <c r="E47">
        <v>30</v>
      </c>
      <c r="F47">
        <v>542</v>
      </c>
      <c r="G47">
        <v>5000</v>
      </c>
      <c r="H47">
        <v>12.5</v>
      </c>
      <c r="I47">
        <v>5</v>
      </c>
      <c r="J47">
        <v>78</v>
      </c>
      <c r="K47">
        <v>14.1025641025641</v>
      </c>
      <c r="L47">
        <v>13.301282051282</v>
      </c>
      <c r="M47">
        <v>33.990384615384599</v>
      </c>
      <c r="N47">
        <v>0</v>
      </c>
      <c r="O47">
        <v>33</v>
      </c>
    </row>
    <row r="48" spans="1:15" x14ac:dyDescent="0.25">
      <c r="A48" t="s">
        <v>18</v>
      </c>
      <c r="B48">
        <v>11</v>
      </c>
      <c r="C48">
        <v>2</v>
      </c>
      <c r="D48">
        <v>37</v>
      </c>
      <c r="E48">
        <v>30</v>
      </c>
      <c r="F48">
        <v>575</v>
      </c>
      <c r="G48">
        <v>5000</v>
      </c>
      <c r="H48">
        <v>12.5</v>
      </c>
      <c r="I48">
        <v>5</v>
      </c>
      <c r="J48">
        <v>78</v>
      </c>
      <c r="K48">
        <v>14.1025641025641</v>
      </c>
      <c r="L48">
        <v>13.301282051282</v>
      </c>
      <c r="M48">
        <v>33.990384615384599</v>
      </c>
      <c r="N48">
        <v>0.79807692307692202</v>
      </c>
      <c r="O48">
        <v>33</v>
      </c>
    </row>
    <row r="49" spans="1:15" x14ac:dyDescent="0.25">
      <c r="A49" t="s">
        <v>18</v>
      </c>
      <c r="B49">
        <v>11</v>
      </c>
      <c r="C49">
        <v>3</v>
      </c>
      <c r="D49">
        <v>39</v>
      </c>
      <c r="E49">
        <v>30</v>
      </c>
      <c r="F49">
        <v>1024</v>
      </c>
      <c r="G49">
        <v>5000</v>
      </c>
      <c r="H49">
        <v>12.5</v>
      </c>
      <c r="I49">
        <v>5</v>
      </c>
      <c r="J49">
        <v>78</v>
      </c>
      <c r="K49">
        <v>14.1025641025641</v>
      </c>
      <c r="L49">
        <v>13.301282051282</v>
      </c>
      <c r="M49">
        <v>33.990384615384599</v>
      </c>
      <c r="N49">
        <v>1.59615384615384</v>
      </c>
      <c r="O49">
        <v>32</v>
      </c>
    </row>
    <row r="50" spans="1:15" x14ac:dyDescent="0.25">
      <c r="A50" t="s">
        <v>18</v>
      </c>
      <c r="B50">
        <v>11</v>
      </c>
      <c r="C50">
        <v>4</v>
      </c>
      <c r="D50">
        <v>40</v>
      </c>
      <c r="E50">
        <v>30</v>
      </c>
      <c r="F50">
        <v>1056</v>
      </c>
      <c r="G50">
        <v>5000</v>
      </c>
      <c r="H50">
        <v>12.5</v>
      </c>
      <c r="I50">
        <v>5</v>
      </c>
      <c r="J50">
        <v>78</v>
      </c>
      <c r="K50">
        <v>14.1025641025641</v>
      </c>
      <c r="L50">
        <v>13.301282051282</v>
      </c>
      <c r="M50">
        <v>33.990384615384599</v>
      </c>
      <c r="N50">
        <v>2.3942307692307598</v>
      </c>
      <c r="O50">
        <v>31</v>
      </c>
    </row>
    <row r="51" spans="1:15" x14ac:dyDescent="0.25">
      <c r="A51" t="s">
        <v>18</v>
      </c>
      <c r="B51">
        <v>11</v>
      </c>
      <c r="C51">
        <v>5</v>
      </c>
      <c r="D51">
        <v>41</v>
      </c>
      <c r="E51">
        <v>30</v>
      </c>
      <c r="F51">
        <v>1087</v>
      </c>
      <c r="G51">
        <v>5000</v>
      </c>
      <c r="H51">
        <v>12.5</v>
      </c>
      <c r="I51">
        <v>5</v>
      </c>
      <c r="J51">
        <v>78</v>
      </c>
      <c r="K51">
        <v>14.1025641025641</v>
      </c>
      <c r="L51">
        <v>13.301282051282</v>
      </c>
      <c r="M51">
        <v>33.990384615384599</v>
      </c>
      <c r="N51">
        <v>0</v>
      </c>
      <c r="O51">
        <v>30</v>
      </c>
    </row>
    <row r="52" spans="1:15" x14ac:dyDescent="0.25">
      <c r="A52" t="s">
        <v>18</v>
      </c>
      <c r="B52">
        <v>11</v>
      </c>
      <c r="C52">
        <v>6</v>
      </c>
      <c r="D52">
        <v>44</v>
      </c>
      <c r="E52">
        <v>30</v>
      </c>
      <c r="F52">
        <v>1220</v>
      </c>
      <c r="G52">
        <v>5000</v>
      </c>
      <c r="H52">
        <v>12.5</v>
      </c>
      <c r="I52">
        <v>5</v>
      </c>
      <c r="J52">
        <v>78</v>
      </c>
      <c r="K52">
        <v>14.1025641025641</v>
      </c>
      <c r="L52">
        <v>13.301282051282</v>
      </c>
      <c r="M52">
        <v>33.990384615384599</v>
      </c>
      <c r="N52">
        <v>0</v>
      </c>
      <c r="O52">
        <v>30</v>
      </c>
    </row>
    <row r="53" spans="1:15" x14ac:dyDescent="0.25">
      <c r="A53" t="s">
        <v>18</v>
      </c>
      <c r="B53">
        <v>11</v>
      </c>
      <c r="C53">
        <v>7</v>
      </c>
      <c r="D53">
        <v>45</v>
      </c>
      <c r="E53">
        <v>30</v>
      </c>
      <c r="F53">
        <v>1250</v>
      </c>
      <c r="G53">
        <v>5000</v>
      </c>
      <c r="H53">
        <v>12.5</v>
      </c>
      <c r="I53">
        <v>5</v>
      </c>
      <c r="J53">
        <v>78</v>
      </c>
      <c r="K53">
        <v>14.1025641025641</v>
      </c>
      <c r="L53">
        <v>13.301282051282</v>
      </c>
      <c r="M53">
        <v>33.990384615384599</v>
      </c>
      <c r="N53">
        <v>0</v>
      </c>
      <c r="O53">
        <v>30</v>
      </c>
    </row>
    <row r="54" spans="1:15" x14ac:dyDescent="0.25">
      <c r="A54" t="s">
        <v>18</v>
      </c>
      <c r="B54">
        <v>12</v>
      </c>
      <c r="C54">
        <v>1</v>
      </c>
      <c r="D54">
        <v>38</v>
      </c>
      <c r="E54">
        <v>307</v>
      </c>
      <c r="F54">
        <v>608</v>
      </c>
      <c r="G54">
        <v>5000</v>
      </c>
      <c r="H54">
        <v>12.5</v>
      </c>
      <c r="I54">
        <v>5</v>
      </c>
      <c r="J54">
        <v>78</v>
      </c>
      <c r="K54">
        <v>15.3846153846153</v>
      </c>
      <c r="L54">
        <v>13.942307692307599</v>
      </c>
      <c r="M54">
        <v>349.80288461538402</v>
      </c>
      <c r="N54">
        <v>0</v>
      </c>
      <c r="O54">
        <v>349</v>
      </c>
    </row>
    <row r="55" spans="1:15" x14ac:dyDescent="0.25">
      <c r="A55" t="s">
        <v>18</v>
      </c>
      <c r="B55">
        <v>13</v>
      </c>
      <c r="C55">
        <v>1</v>
      </c>
      <c r="D55">
        <v>42</v>
      </c>
      <c r="E55">
        <v>39</v>
      </c>
      <c r="F55">
        <v>1117</v>
      </c>
      <c r="G55">
        <v>5000</v>
      </c>
      <c r="H55">
        <v>12.5</v>
      </c>
      <c r="I55">
        <v>5</v>
      </c>
      <c r="J55">
        <v>78</v>
      </c>
      <c r="K55">
        <v>16.6666666666666</v>
      </c>
      <c r="L55">
        <v>14.5833333333333</v>
      </c>
      <c r="M55">
        <v>44.6875</v>
      </c>
      <c r="N55">
        <v>0</v>
      </c>
      <c r="O55">
        <v>44</v>
      </c>
    </row>
    <row r="56" spans="1:15" x14ac:dyDescent="0.25">
      <c r="A56" t="s">
        <v>18</v>
      </c>
      <c r="B56">
        <v>14</v>
      </c>
      <c r="C56">
        <v>1</v>
      </c>
      <c r="D56">
        <v>43</v>
      </c>
      <c r="E56">
        <v>52</v>
      </c>
      <c r="F56">
        <v>1161</v>
      </c>
      <c r="G56">
        <v>5000</v>
      </c>
      <c r="H56">
        <v>12.5</v>
      </c>
      <c r="I56">
        <v>5</v>
      </c>
      <c r="J56">
        <v>78</v>
      </c>
      <c r="K56">
        <v>17.948717948717899</v>
      </c>
      <c r="L56">
        <v>15.2243589743589</v>
      </c>
      <c r="M56">
        <v>59.9166666666666</v>
      </c>
      <c r="N56">
        <v>0</v>
      </c>
      <c r="O56">
        <v>59</v>
      </c>
    </row>
    <row r="57" spans="1:15" x14ac:dyDescent="0.25">
      <c r="A57" t="s">
        <v>18</v>
      </c>
      <c r="B57">
        <v>14</v>
      </c>
      <c r="C57">
        <v>2</v>
      </c>
      <c r="D57">
        <v>100</v>
      </c>
      <c r="E57">
        <v>52</v>
      </c>
      <c r="F57">
        <v>3988</v>
      </c>
      <c r="G57">
        <v>5000</v>
      </c>
      <c r="H57">
        <v>12.5</v>
      </c>
      <c r="I57">
        <v>5</v>
      </c>
      <c r="J57">
        <v>78</v>
      </c>
      <c r="K57">
        <v>17.948717948717899</v>
      </c>
      <c r="L57">
        <v>15.2243589743589</v>
      </c>
      <c r="M57">
        <v>59.9166666666666</v>
      </c>
      <c r="N57">
        <v>1.5833333333333299</v>
      </c>
      <c r="O57">
        <v>58</v>
      </c>
    </row>
    <row r="58" spans="1:15" x14ac:dyDescent="0.25">
      <c r="A58" t="s">
        <v>18</v>
      </c>
      <c r="B58">
        <v>14</v>
      </c>
      <c r="C58">
        <v>3</v>
      </c>
      <c r="D58">
        <v>101</v>
      </c>
      <c r="E58">
        <v>52</v>
      </c>
      <c r="F58">
        <v>4046</v>
      </c>
      <c r="G58">
        <v>5000</v>
      </c>
      <c r="H58">
        <v>12.5</v>
      </c>
      <c r="I58">
        <v>5</v>
      </c>
      <c r="J58">
        <v>78</v>
      </c>
      <c r="K58">
        <v>17.948717948717899</v>
      </c>
      <c r="L58">
        <v>15.2243589743589</v>
      </c>
      <c r="M58">
        <v>59.9166666666666</v>
      </c>
      <c r="N58">
        <v>3.1666666666666599</v>
      </c>
      <c r="O58">
        <v>56</v>
      </c>
    </row>
    <row r="59" spans="1:15" x14ac:dyDescent="0.25">
      <c r="A59" t="s">
        <v>18</v>
      </c>
      <c r="B59">
        <v>14</v>
      </c>
      <c r="C59">
        <v>4</v>
      </c>
      <c r="D59">
        <v>102</v>
      </c>
      <c r="E59">
        <v>52</v>
      </c>
      <c r="F59">
        <v>4102</v>
      </c>
      <c r="G59">
        <v>5000</v>
      </c>
      <c r="H59">
        <v>12.5</v>
      </c>
      <c r="I59">
        <v>5</v>
      </c>
      <c r="J59">
        <v>78</v>
      </c>
      <c r="K59">
        <v>17.948717948717899</v>
      </c>
      <c r="L59">
        <v>15.2243589743589</v>
      </c>
      <c r="M59">
        <v>59.9166666666666</v>
      </c>
      <c r="N59">
        <v>4.7499999999999902</v>
      </c>
      <c r="O59">
        <v>55</v>
      </c>
    </row>
    <row r="60" spans="1:15" x14ac:dyDescent="0.25">
      <c r="A60" t="s">
        <v>18</v>
      </c>
      <c r="B60">
        <v>14</v>
      </c>
      <c r="C60">
        <v>5</v>
      </c>
      <c r="D60">
        <v>103</v>
      </c>
      <c r="E60">
        <v>52</v>
      </c>
      <c r="F60">
        <v>4157</v>
      </c>
      <c r="G60">
        <v>5000</v>
      </c>
      <c r="H60">
        <v>12.5</v>
      </c>
      <c r="I60">
        <v>5</v>
      </c>
      <c r="J60">
        <v>78</v>
      </c>
      <c r="K60">
        <v>17.948717948717899</v>
      </c>
      <c r="L60">
        <v>15.2243589743589</v>
      </c>
      <c r="M60">
        <v>59.9166666666666</v>
      </c>
      <c r="N60">
        <v>0</v>
      </c>
      <c r="O60">
        <v>52</v>
      </c>
    </row>
    <row r="61" spans="1:15" x14ac:dyDescent="0.25">
      <c r="A61" t="s">
        <v>18</v>
      </c>
      <c r="B61">
        <v>15</v>
      </c>
      <c r="C61">
        <v>1</v>
      </c>
      <c r="D61">
        <v>46</v>
      </c>
      <c r="E61">
        <v>43</v>
      </c>
      <c r="F61">
        <v>1280</v>
      </c>
      <c r="G61">
        <v>5000</v>
      </c>
      <c r="H61">
        <v>12.5</v>
      </c>
      <c r="I61">
        <v>5</v>
      </c>
      <c r="J61">
        <v>78</v>
      </c>
      <c r="K61">
        <v>19.230769230769202</v>
      </c>
      <c r="L61">
        <v>15.865384615384601</v>
      </c>
      <c r="M61">
        <v>49.822115384615302</v>
      </c>
      <c r="N61">
        <v>0</v>
      </c>
      <c r="O61">
        <v>49</v>
      </c>
    </row>
    <row r="62" spans="1:15" x14ac:dyDescent="0.25">
      <c r="A62" t="s">
        <v>18</v>
      </c>
      <c r="B62">
        <v>15</v>
      </c>
      <c r="C62">
        <v>2</v>
      </c>
      <c r="D62">
        <v>47</v>
      </c>
      <c r="E62">
        <v>43</v>
      </c>
      <c r="F62">
        <v>1329</v>
      </c>
      <c r="G62">
        <v>5000</v>
      </c>
      <c r="H62">
        <v>12.5</v>
      </c>
      <c r="I62">
        <v>5</v>
      </c>
      <c r="J62">
        <v>78</v>
      </c>
      <c r="K62">
        <v>19.230769230769202</v>
      </c>
      <c r="L62">
        <v>15.865384615384601</v>
      </c>
      <c r="M62">
        <v>49.822115384615302</v>
      </c>
      <c r="N62">
        <v>1.3644230769230701</v>
      </c>
      <c r="O62">
        <v>48</v>
      </c>
    </row>
    <row r="63" spans="1:15" x14ac:dyDescent="0.25">
      <c r="A63" t="s">
        <v>18</v>
      </c>
      <c r="B63">
        <v>15</v>
      </c>
      <c r="C63">
        <v>3</v>
      </c>
      <c r="D63">
        <v>48</v>
      </c>
      <c r="E63">
        <v>43</v>
      </c>
      <c r="F63">
        <v>1377</v>
      </c>
      <c r="G63">
        <v>5000</v>
      </c>
      <c r="H63">
        <v>12.5</v>
      </c>
      <c r="I63">
        <v>5</v>
      </c>
      <c r="J63">
        <v>78</v>
      </c>
      <c r="K63">
        <v>19.230769230769202</v>
      </c>
      <c r="L63">
        <v>15.865384615384601</v>
      </c>
      <c r="M63">
        <v>49.822115384615302</v>
      </c>
      <c r="N63">
        <v>2.7288461538461499</v>
      </c>
      <c r="O63">
        <v>47</v>
      </c>
    </row>
    <row r="64" spans="1:15" x14ac:dyDescent="0.25">
      <c r="A64" t="s">
        <v>18</v>
      </c>
      <c r="B64">
        <v>15</v>
      </c>
      <c r="C64">
        <v>4</v>
      </c>
      <c r="D64">
        <v>49</v>
      </c>
      <c r="E64">
        <v>43</v>
      </c>
      <c r="F64">
        <v>1424</v>
      </c>
      <c r="G64">
        <v>5000</v>
      </c>
      <c r="H64">
        <v>12.5</v>
      </c>
      <c r="I64">
        <v>5</v>
      </c>
      <c r="J64">
        <v>78</v>
      </c>
      <c r="K64">
        <v>19.230769230769202</v>
      </c>
      <c r="L64">
        <v>15.865384615384601</v>
      </c>
      <c r="M64">
        <v>49.822115384615302</v>
      </c>
      <c r="N64">
        <v>4.0932692307692298</v>
      </c>
      <c r="O64">
        <v>45</v>
      </c>
    </row>
    <row r="65" spans="1:15" x14ac:dyDescent="0.25">
      <c r="A65" t="s">
        <v>18</v>
      </c>
      <c r="B65">
        <v>15</v>
      </c>
      <c r="C65">
        <v>5</v>
      </c>
      <c r="D65">
        <v>51</v>
      </c>
      <c r="E65">
        <v>43</v>
      </c>
      <c r="F65">
        <v>1827</v>
      </c>
      <c r="G65">
        <v>5000</v>
      </c>
      <c r="H65">
        <v>12.5</v>
      </c>
      <c r="I65">
        <v>5</v>
      </c>
      <c r="J65">
        <v>78</v>
      </c>
      <c r="K65">
        <v>19.230769230769202</v>
      </c>
      <c r="L65">
        <v>15.865384615384601</v>
      </c>
      <c r="M65">
        <v>49.822115384615302</v>
      </c>
      <c r="N65">
        <v>0</v>
      </c>
      <c r="O65">
        <v>43</v>
      </c>
    </row>
    <row r="66" spans="1:15" x14ac:dyDescent="0.25">
      <c r="A66" t="s">
        <v>18</v>
      </c>
      <c r="B66">
        <v>15</v>
      </c>
      <c r="C66">
        <v>6</v>
      </c>
      <c r="D66">
        <v>52</v>
      </c>
      <c r="E66">
        <v>43</v>
      </c>
      <c r="F66">
        <v>1870</v>
      </c>
      <c r="G66">
        <v>5000</v>
      </c>
      <c r="H66">
        <v>12.5</v>
      </c>
      <c r="I66">
        <v>5</v>
      </c>
      <c r="J66">
        <v>78</v>
      </c>
      <c r="K66">
        <v>19.230769230769202</v>
      </c>
      <c r="L66">
        <v>15.865384615384601</v>
      </c>
      <c r="M66">
        <v>49.822115384615302</v>
      </c>
      <c r="N66">
        <v>0</v>
      </c>
      <c r="O66">
        <v>43</v>
      </c>
    </row>
    <row r="67" spans="1:15" x14ac:dyDescent="0.25">
      <c r="A67" t="s">
        <v>18</v>
      </c>
      <c r="B67">
        <v>15</v>
      </c>
      <c r="C67">
        <v>7</v>
      </c>
      <c r="D67">
        <v>53</v>
      </c>
      <c r="E67">
        <v>43</v>
      </c>
      <c r="F67">
        <v>1913</v>
      </c>
      <c r="G67">
        <v>5000</v>
      </c>
      <c r="H67">
        <v>12.5</v>
      </c>
      <c r="I67">
        <v>5</v>
      </c>
      <c r="J67">
        <v>78</v>
      </c>
      <c r="K67">
        <v>19.230769230769202</v>
      </c>
      <c r="L67">
        <v>15.865384615384601</v>
      </c>
      <c r="M67">
        <v>49.822115384615302</v>
      </c>
      <c r="N67">
        <v>0</v>
      </c>
      <c r="O67">
        <v>43</v>
      </c>
    </row>
    <row r="68" spans="1:15" x14ac:dyDescent="0.25">
      <c r="A68" t="s">
        <v>18</v>
      </c>
      <c r="B68">
        <v>15</v>
      </c>
      <c r="C68">
        <v>8</v>
      </c>
      <c r="D68">
        <v>54</v>
      </c>
      <c r="E68">
        <v>43</v>
      </c>
      <c r="F68">
        <v>1956</v>
      </c>
      <c r="G68">
        <v>5000</v>
      </c>
      <c r="H68">
        <v>12.5</v>
      </c>
      <c r="I68">
        <v>5</v>
      </c>
      <c r="J68">
        <v>78</v>
      </c>
      <c r="K68">
        <v>19.230769230769202</v>
      </c>
      <c r="L68">
        <v>15.865384615384601</v>
      </c>
      <c r="M68">
        <v>49.822115384615302</v>
      </c>
      <c r="N68">
        <v>0</v>
      </c>
      <c r="O68">
        <v>43</v>
      </c>
    </row>
    <row r="69" spans="1:15" x14ac:dyDescent="0.25">
      <c r="A69" t="s">
        <v>18</v>
      </c>
      <c r="B69">
        <v>15</v>
      </c>
      <c r="C69">
        <v>9</v>
      </c>
      <c r="D69">
        <v>55</v>
      </c>
      <c r="E69">
        <v>43</v>
      </c>
      <c r="F69">
        <v>1999</v>
      </c>
      <c r="G69">
        <v>5000</v>
      </c>
      <c r="H69">
        <v>12.5</v>
      </c>
      <c r="I69">
        <v>5</v>
      </c>
      <c r="J69">
        <v>78</v>
      </c>
      <c r="K69">
        <v>19.230769230769202</v>
      </c>
      <c r="L69">
        <v>15.865384615384601</v>
      </c>
      <c r="M69">
        <v>49.822115384615302</v>
      </c>
      <c r="N69">
        <v>0</v>
      </c>
      <c r="O69">
        <v>43</v>
      </c>
    </row>
    <row r="70" spans="1:15" x14ac:dyDescent="0.25">
      <c r="A70" t="s">
        <v>18</v>
      </c>
      <c r="B70">
        <v>15</v>
      </c>
      <c r="C70">
        <v>10</v>
      </c>
      <c r="D70">
        <v>56</v>
      </c>
      <c r="E70">
        <v>43</v>
      </c>
      <c r="F70">
        <v>2042</v>
      </c>
      <c r="G70">
        <v>5000</v>
      </c>
      <c r="H70">
        <v>12.5</v>
      </c>
      <c r="I70">
        <v>5</v>
      </c>
      <c r="J70">
        <v>78</v>
      </c>
      <c r="K70">
        <v>19.230769230769202</v>
      </c>
      <c r="L70">
        <v>15.865384615384601</v>
      </c>
      <c r="M70">
        <v>49.822115384615302</v>
      </c>
      <c r="N70">
        <v>0</v>
      </c>
      <c r="O70">
        <v>43</v>
      </c>
    </row>
    <row r="71" spans="1:15" x14ac:dyDescent="0.25">
      <c r="A71" t="s">
        <v>18</v>
      </c>
      <c r="B71">
        <v>15</v>
      </c>
      <c r="C71">
        <v>11</v>
      </c>
      <c r="D71">
        <v>57</v>
      </c>
      <c r="E71">
        <v>43</v>
      </c>
      <c r="F71">
        <v>2085</v>
      </c>
      <c r="G71">
        <v>5000</v>
      </c>
      <c r="H71">
        <v>12.5</v>
      </c>
      <c r="I71">
        <v>5</v>
      </c>
      <c r="J71">
        <v>78</v>
      </c>
      <c r="K71">
        <v>19.230769230769202</v>
      </c>
      <c r="L71">
        <v>15.865384615384601</v>
      </c>
      <c r="M71">
        <v>49.822115384615302</v>
      </c>
      <c r="N71">
        <v>13.114622807017501</v>
      </c>
      <c r="O71">
        <v>29</v>
      </c>
    </row>
    <row r="72" spans="1:15" x14ac:dyDescent="0.25">
      <c r="A72" t="s">
        <v>18</v>
      </c>
      <c r="B72">
        <v>15</v>
      </c>
      <c r="C72">
        <v>12</v>
      </c>
      <c r="D72">
        <v>58</v>
      </c>
      <c r="E72">
        <v>43</v>
      </c>
      <c r="F72">
        <v>2114</v>
      </c>
      <c r="G72">
        <v>5000</v>
      </c>
      <c r="H72">
        <v>12.5</v>
      </c>
      <c r="I72">
        <v>5</v>
      </c>
      <c r="J72">
        <v>78</v>
      </c>
      <c r="K72">
        <v>19.230769230769202</v>
      </c>
      <c r="L72">
        <v>15.865384615384601</v>
      </c>
      <c r="M72">
        <v>49.822115384615302</v>
      </c>
      <c r="N72">
        <v>13.5384758620689</v>
      </c>
      <c r="O72">
        <v>29</v>
      </c>
    </row>
    <row r="73" spans="1:15" x14ac:dyDescent="0.25">
      <c r="A73" t="s">
        <v>18</v>
      </c>
      <c r="B73">
        <v>15</v>
      </c>
      <c r="C73">
        <v>13</v>
      </c>
      <c r="D73">
        <v>59</v>
      </c>
      <c r="E73">
        <v>43</v>
      </c>
      <c r="F73">
        <v>2143</v>
      </c>
      <c r="G73">
        <v>5000</v>
      </c>
      <c r="H73">
        <v>12.5</v>
      </c>
      <c r="I73">
        <v>5</v>
      </c>
      <c r="J73">
        <v>78</v>
      </c>
      <c r="K73">
        <v>19.230769230769202</v>
      </c>
      <c r="L73">
        <v>15.865384615384601</v>
      </c>
      <c r="M73">
        <v>49.822115384615302</v>
      </c>
      <c r="N73">
        <v>13.9521881355932</v>
      </c>
      <c r="O73">
        <v>29</v>
      </c>
    </row>
    <row r="74" spans="1:15" x14ac:dyDescent="0.25">
      <c r="A74" t="s">
        <v>18</v>
      </c>
      <c r="B74">
        <v>15</v>
      </c>
      <c r="C74">
        <v>14</v>
      </c>
      <c r="D74">
        <v>61</v>
      </c>
      <c r="E74">
        <v>43</v>
      </c>
      <c r="F74">
        <v>2224</v>
      </c>
      <c r="G74">
        <v>5000</v>
      </c>
      <c r="H74">
        <v>12.5</v>
      </c>
      <c r="I74">
        <v>5</v>
      </c>
      <c r="J74">
        <v>78</v>
      </c>
      <c r="K74">
        <v>19.230769230769202</v>
      </c>
      <c r="L74">
        <v>15.865384615384601</v>
      </c>
      <c r="M74">
        <v>49.822115384615302</v>
      </c>
      <c r="N74">
        <v>14.4976262295081</v>
      </c>
      <c r="O74">
        <v>28</v>
      </c>
    </row>
    <row r="75" spans="1:15" x14ac:dyDescent="0.25">
      <c r="A75" t="s">
        <v>18</v>
      </c>
      <c r="B75">
        <v>15</v>
      </c>
      <c r="C75">
        <v>15</v>
      </c>
      <c r="D75">
        <v>62</v>
      </c>
      <c r="E75">
        <v>43</v>
      </c>
      <c r="F75">
        <v>2252</v>
      </c>
      <c r="G75">
        <v>5000</v>
      </c>
      <c r="H75">
        <v>12.5</v>
      </c>
      <c r="I75">
        <v>5</v>
      </c>
      <c r="J75">
        <v>78</v>
      </c>
      <c r="K75">
        <v>19.230769230769202</v>
      </c>
      <c r="L75">
        <v>15.865384615384601</v>
      </c>
      <c r="M75">
        <v>49.822115384615302</v>
      </c>
      <c r="N75">
        <v>14.885212903225799</v>
      </c>
      <c r="O75">
        <v>28</v>
      </c>
    </row>
    <row r="76" spans="1:15" x14ac:dyDescent="0.25">
      <c r="A76" t="s">
        <v>18</v>
      </c>
      <c r="B76">
        <v>15</v>
      </c>
      <c r="C76">
        <v>16</v>
      </c>
      <c r="D76">
        <v>63</v>
      </c>
      <c r="E76">
        <v>43</v>
      </c>
      <c r="F76">
        <v>2280</v>
      </c>
      <c r="G76">
        <v>5000</v>
      </c>
      <c r="H76">
        <v>12.5</v>
      </c>
      <c r="I76">
        <v>5</v>
      </c>
      <c r="J76">
        <v>78</v>
      </c>
      <c r="K76">
        <v>19.230769230769202</v>
      </c>
      <c r="L76">
        <v>15.865384615384601</v>
      </c>
      <c r="M76">
        <v>49.822115384615302</v>
      </c>
      <c r="N76">
        <v>15.2643174603174</v>
      </c>
      <c r="O76">
        <v>27</v>
      </c>
    </row>
    <row r="77" spans="1:15" x14ac:dyDescent="0.25">
      <c r="A77" t="s">
        <v>18</v>
      </c>
      <c r="B77">
        <v>15</v>
      </c>
      <c r="C77">
        <v>17</v>
      </c>
      <c r="D77">
        <v>64</v>
      </c>
      <c r="E77">
        <v>43</v>
      </c>
      <c r="F77">
        <v>2307</v>
      </c>
      <c r="G77">
        <v>5000</v>
      </c>
      <c r="H77">
        <v>12.5</v>
      </c>
      <c r="I77">
        <v>5</v>
      </c>
      <c r="J77">
        <v>78</v>
      </c>
      <c r="K77">
        <v>19.230769230769202</v>
      </c>
      <c r="L77">
        <v>15.865384615384601</v>
      </c>
      <c r="M77">
        <v>49.822115384615302</v>
      </c>
      <c r="N77">
        <v>15.6310375</v>
      </c>
      <c r="O77">
        <v>27</v>
      </c>
    </row>
    <row r="78" spans="1:15" x14ac:dyDescent="0.25">
      <c r="A78" t="s">
        <v>18</v>
      </c>
      <c r="B78">
        <v>15</v>
      </c>
      <c r="C78">
        <v>18</v>
      </c>
      <c r="D78">
        <v>66</v>
      </c>
      <c r="E78">
        <v>43</v>
      </c>
      <c r="F78">
        <v>2385</v>
      </c>
      <c r="G78">
        <v>5000</v>
      </c>
      <c r="H78">
        <v>12.5</v>
      </c>
      <c r="I78">
        <v>5</v>
      </c>
      <c r="J78">
        <v>78</v>
      </c>
      <c r="K78">
        <v>19.230769230769202</v>
      </c>
      <c r="L78">
        <v>15.865384615384601</v>
      </c>
      <c r="M78">
        <v>49.822115384615302</v>
      </c>
      <c r="N78">
        <v>16.119136363636301</v>
      </c>
      <c r="O78">
        <v>26</v>
      </c>
    </row>
    <row r="79" spans="1:15" x14ac:dyDescent="0.25">
      <c r="A79" t="s">
        <v>18</v>
      </c>
      <c r="B79">
        <v>15</v>
      </c>
      <c r="C79">
        <v>19</v>
      </c>
      <c r="D79">
        <v>69</v>
      </c>
      <c r="E79">
        <v>43</v>
      </c>
      <c r="F79">
        <v>2603</v>
      </c>
      <c r="G79">
        <v>5000</v>
      </c>
      <c r="H79">
        <v>12.5</v>
      </c>
      <c r="I79">
        <v>5</v>
      </c>
      <c r="J79">
        <v>78</v>
      </c>
      <c r="K79">
        <v>19.230769230769202</v>
      </c>
      <c r="L79">
        <v>15.865384615384601</v>
      </c>
      <c r="M79">
        <v>49.822115384615302</v>
      </c>
      <c r="N79">
        <v>17.113189855072399</v>
      </c>
      <c r="O79">
        <v>25</v>
      </c>
    </row>
    <row r="80" spans="1:15" x14ac:dyDescent="0.25">
      <c r="A80" t="s">
        <v>18</v>
      </c>
      <c r="B80">
        <v>15</v>
      </c>
      <c r="C80">
        <v>20</v>
      </c>
      <c r="D80">
        <v>71</v>
      </c>
      <c r="E80">
        <v>43</v>
      </c>
      <c r="F80">
        <v>2668</v>
      </c>
      <c r="G80">
        <v>5000</v>
      </c>
      <c r="H80">
        <v>12.5</v>
      </c>
      <c r="I80">
        <v>5</v>
      </c>
      <c r="J80">
        <v>78</v>
      </c>
      <c r="K80">
        <v>19.230769230769202</v>
      </c>
      <c r="L80">
        <v>15.865384615384601</v>
      </c>
      <c r="M80">
        <v>49.822115384615302</v>
      </c>
      <c r="N80">
        <v>17.528738028168998</v>
      </c>
      <c r="O80">
        <v>25</v>
      </c>
    </row>
    <row r="81" spans="1:15" x14ac:dyDescent="0.25">
      <c r="A81" t="s">
        <v>18</v>
      </c>
      <c r="B81">
        <v>15</v>
      </c>
      <c r="C81">
        <v>21</v>
      </c>
      <c r="D81">
        <v>72</v>
      </c>
      <c r="E81">
        <v>43</v>
      </c>
      <c r="F81">
        <v>2693</v>
      </c>
      <c r="G81">
        <v>5000</v>
      </c>
      <c r="H81">
        <v>12.5</v>
      </c>
      <c r="I81">
        <v>5</v>
      </c>
      <c r="J81">
        <v>78</v>
      </c>
      <c r="K81">
        <v>19.230769230769202</v>
      </c>
      <c r="L81">
        <v>15.865384615384601</v>
      </c>
      <c r="M81">
        <v>49.822115384615302</v>
      </c>
      <c r="N81">
        <v>17.850733333333299</v>
      </c>
      <c r="O81">
        <v>25</v>
      </c>
    </row>
    <row r="82" spans="1:15" x14ac:dyDescent="0.25">
      <c r="A82" t="s">
        <v>18</v>
      </c>
      <c r="B82">
        <v>15</v>
      </c>
      <c r="C82">
        <v>22</v>
      </c>
      <c r="D82">
        <v>76</v>
      </c>
      <c r="E82">
        <v>43</v>
      </c>
      <c r="F82">
        <v>2822</v>
      </c>
      <c r="G82">
        <v>5000</v>
      </c>
      <c r="H82">
        <v>12.5</v>
      </c>
      <c r="I82">
        <v>5</v>
      </c>
      <c r="J82">
        <v>78</v>
      </c>
      <c r="K82">
        <v>19.230769230769202</v>
      </c>
      <c r="L82">
        <v>15.865384615384601</v>
      </c>
      <c r="M82">
        <v>49.822115384615302</v>
      </c>
      <c r="N82">
        <v>18.3582842105263</v>
      </c>
      <c r="O82">
        <v>24</v>
      </c>
    </row>
    <row r="83" spans="1:15" x14ac:dyDescent="0.25">
      <c r="A83" t="s">
        <v>18</v>
      </c>
      <c r="B83">
        <v>15</v>
      </c>
      <c r="C83">
        <v>23</v>
      </c>
      <c r="D83">
        <v>87</v>
      </c>
      <c r="E83">
        <v>43</v>
      </c>
      <c r="F83">
        <v>3663</v>
      </c>
      <c r="G83">
        <v>5000</v>
      </c>
      <c r="H83">
        <v>12.5</v>
      </c>
      <c r="I83">
        <v>5</v>
      </c>
      <c r="J83">
        <v>78</v>
      </c>
      <c r="K83">
        <v>19.230769230769202</v>
      </c>
      <c r="L83">
        <v>15.865384615384601</v>
      </c>
      <c r="M83">
        <v>49.822115384615302</v>
      </c>
      <c r="N83">
        <v>21.434808045977</v>
      </c>
      <c r="O83">
        <v>21</v>
      </c>
    </row>
    <row r="84" spans="1:15" x14ac:dyDescent="0.25">
      <c r="A84" t="s">
        <v>18</v>
      </c>
      <c r="B84">
        <v>15</v>
      </c>
      <c r="C84">
        <v>24</v>
      </c>
      <c r="D84">
        <v>90</v>
      </c>
      <c r="E84">
        <v>43</v>
      </c>
      <c r="F84">
        <v>3688</v>
      </c>
      <c r="G84">
        <v>5000</v>
      </c>
      <c r="H84">
        <v>12.5</v>
      </c>
      <c r="I84">
        <v>5</v>
      </c>
      <c r="J84">
        <v>78</v>
      </c>
      <c r="K84">
        <v>19.230769230769202</v>
      </c>
      <c r="L84">
        <v>15.865384615384601</v>
      </c>
      <c r="M84">
        <v>49.822115384615302</v>
      </c>
      <c r="N84">
        <v>21.591733333333298</v>
      </c>
      <c r="O84">
        <v>21</v>
      </c>
    </row>
    <row r="85" spans="1:15" x14ac:dyDescent="0.25">
      <c r="A85" t="s">
        <v>18</v>
      </c>
      <c r="B85">
        <v>15</v>
      </c>
      <c r="C85">
        <v>25</v>
      </c>
      <c r="D85">
        <v>91</v>
      </c>
      <c r="E85">
        <v>43</v>
      </c>
      <c r="F85">
        <v>3709</v>
      </c>
      <c r="G85">
        <v>5000</v>
      </c>
      <c r="H85">
        <v>12.5</v>
      </c>
      <c r="I85">
        <v>5</v>
      </c>
      <c r="J85">
        <v>78</v>
      </c>
      <c r="K85">
        <v>19.230769230769202</v>
      </c>
      <c r="L85">
        <v>15.865384615384601</v>
      </c>
      <c r="M85">
        <v>49.822115384615302</v>
      </c>
      <c r="N85">
        <v>21.8552934065934</v>
      </c>
      <c r="O85">
        <v>21</v>
      </c>
    </row>
    <row r="86" spans="1:15" x14ac:dyDescent="0.25">
      <c r="A86" t="s">
        <v>18</v>
      </c>
      <c r="B86">
        <v>15</v>
      </c>
      <c r="C86">
        <v>26</v>
      </c>
      <c r="D86">
        <v>93</v>
      </c>
      <c r="E86">
        <v>43</v>
      </c>
      <c r="F86">
        <v>3813</v>
      </c>
      <c r="G86">
        <v>5000</v>
      </c>
      <c r="H86">
        <v>12.5</v>
      </c>
      <c r="I86">
        <v>5</v>
      </c>
      <c r="J86">
        <v>78</v>
      </c>
      <c r="K86">
        <v>19.230769230769202</v>
      </c>
      <c r="L86">
        <v>15.865384615384601</v>
      </c>
      <c r="M86">
        <v>49.822115384615302</v>
      </c>
      <c r="N86">
        <v>22.406652688171999</v>
      </c>
      <c r="O86">
        <v>20</v>
      </c>
    </row>
    <row r="87" spans="1:15" x14ac:dyDescent="0.25">
      <c r="A87" t="s">
        <v>18</v>
      </c>
      <c r="B87">
        <v>15</v>
      </c>
      <c r="C87">
        <v>27</v>
      </c>
      <c r="D87">
        <v>94</v>
      </c>
      <c r="E87">
        <v>43</v>
      </c>
      <c r="F87">
        <v>3833</v>
      </c>
      <c r="G87">
        <v>5000</v>
      </c>
      <c r="H87">
        <v>12.5</v>
      </c>
      <c r="I87">
        <v>5</v>
      </c>
      <c r="J87">
        <v>78</v>
      </c>
      <c r="K87">
        <v>19.230769230769202</v>
      </c>
      <c r="L87">
        <v>15.865384615384601</v>
      </c>
      <c r="M87">
        <v>49.822115384615302</v>
      </c>
      <c r="N87">
        <v>22.6574319148936</v>
      </c>
      <c r="O87">
        <v>20</v>
      </c>
    </row>
    <row r="88" spans="1:15" x14ac:dyDescent="0.25">
      <c r="A88" t="s">
        <v>18</v>
      </c>
      <c r="B88">
        <v>16</v>
      </c>
      <c r="C88">
        <v>1</v>
      </c>
      <c r="D88">
        <v>50</v>
      </c>
      <c r="E88">
        <v>250</v>
      </c>
      <c r="F88">
        <v>1469</v>
      </c>
      <c r="G88">
        <v>5000</v>
      </c>
      <c r="H88">
        <v>12.5</v>
      </c>
      <c r="I88">
        <v>5</v>
      </c>
      <c r="J88">
        <v>78</v>
      </c>
      <c r="K88">
        <v>20.5128205128205</v>
      </c>
      <c r="L88">
        <v>16.506410256410199</v>
      </c>
      <c r="M88">
        <v>291.26602564102501</v>
      </c>
      <c r="N88">
        <v>0</v>
      </c>
      <c r="O88">
        <v>291</v>
      </c>
    </row>
    <row r="89" spans="1:15" x14ac:dyDescent="0.25">
      <c r="A89" t="s">
        <v>18</v>
      </c>
      <c r="B89">
        <v>17</v>
      </c>
      <c r="C89">
        <v>1</v>
      </c>
      <c r="D89">
        <v>60</v>
      </c>
      <c r="E89">
        <v>45</v>
      </c>
      <c r="F89">
        <v>2172</v>
      </c>
      <c r="G89">
        <v>5000</v>
      </c>
      <c r="H89">
        <v>12.5</v>
      </c>
      <c r="I89">
        <v>5</v>
      </c>
      <c r="J89">
        <v>78</v>
      </c>
      <c r="K89">
        <v>21.7948717948717</v>
      </c>
      <c r="L89">
        <v>17.147435897435798</v>
      </c>
      <c r="M89">
        <v>52.716346153846096</v>
      </c>
      <c r="N89">
        <v>0</v>
      </c>
      <c r="O89">
        <v>52</v>
      </c>
    </row>
    <row r="90" spans="1:15" x14ac:dyDescent="0.25">
      <c r="A90" t="s">
        <v>18</v>
      </c>
      <c r="B90">
        <v>17</v>
      </c>
      <c r="C90">
        <v>2</v>
      </c>
      <c r="D90">
        <v>65</v>
      </c>
      <c r="E90">
        <v>45</v>
      </c>
      <c r="F90">
        <v>2334</v>
      </c>
      <c r="G90">
        <v>5000</v>
      </c>
      <c r="H90">
        <v>12.5</v>
      </c>
      <c r="I90">
        <v>5</v>
      </c>
      <c r="J90">
        <v>78</v>
      </c>
      <c r="K90">
        <v>21.7948717948717</v>
      </c>
      <c r="L90">
        <v>17.147435897435798</v>
      </c>
      <c r="M90">
        <v>52.716346153846096</v>
      </c>
      <c r="N90">
        <v>1.5432692307692299</v>
      </c>
      <c r="O90">
        <v>51</v>
      </c>
    </row>
    <row r="91" spans="1:15" x14ac:dyDescent="0.25">
      <c r="A91" t="s">
        <v>18</v>
      </c>
      <c r="B91">
        <v>17</v>
      </c>
      <c r="C91">
        <v>3</v>
      </c>
      <c r="D91">
        <v>73</v>
      </c>
      <c r="E91">
        <v>45</v>
      </c>
      <c r="F91">
        <v>2718</v>
      </c>
      <c r="G91">
        <v>5000</v>
      </c>
      <c r="H91">
        <v>12.5</v>
      </c>
      <c r="I91">
        <v>5</v>
      </c>
      <c r="J91">
        <v>78</v>
      </c>
      <c r="K91">
        <v>21.7948717948717</v>
      </c>
      <c r="L91">
        <v>17.147435897435798</v>
      </c>
      <c r="M91">
        <v>52.716346153846096</v>
      </c>
      <c r="N91">
        <v>3.0865384615384599</v>
      </c>
      <c r="O91">
        <v>49</v>
      </c>
    </row>
    <row r="92" spans="1:15" x14ac:dyDescent="0.25">
      <c r="A92" t="s">
        <v>18</v>
      </c>
      <c r="B92">
        <v>17</v>
      </c>
      <c r="C92">
        <v>4</v>
      </c>
      <c r="D92">
        <v>75</v>
      </c>
      <c r="E92">
        <v>45</v>
      </c>
      <c r="F92">
        <v>2774</v>
      </c>
      <c r="G92">
        <v>5000</v>
      </c>
      <c r="H92">
        <v>12.5</v>
      </c>
      <c r="I92">
        <v>5</v>
      </c>
      <c r="J92">
        <v>78</v>
      </c>
      <c r="K92">
        <v>21.7948717948717</v>
      </c>
      <c r="L92">
        <v>17.147435897435798</v>
      </c>
      <c r="M92">
        <v>52.716346153846096</v>
      </c>
      <c r="N92">
        <v>4.6298076923076898</v>
      </c>
      <c r="O92">
        <v>48</v>
      </c>
    </row>
    <row r="93" spans="1:15" x14ac:dyDescent="0.25">
      <c r="A93" t="s">
        <v>18</v>
      </c>
      <c r="B93">
        <v>17</v>
      </c>
      <c r="C93">
        <v>5</v>
      </c>
      <c r="D93">
        <v>77</v>
      </c>
      <c r="E93">
        <v>45</v>
      </c>
      <c r="F93">
        <v>2846</v>
      </c>
      <c r="G93">
        <v>5000</v>
      </c>
      <c r="H93">
        <v>12.5</v>
      </c>
      <c r="I93">
        <v>5</v>
      </c>
      <c r="J93">
        <v>78</v>
      </c>
      <c r="K93">
        <v>21.7948717948717</v>
      </c>
      <c r="L93">
        <v>17.147435897435798</v>
      </c>
      <c r="M93">
        <v>52.716346153846096</v>
      </c>
      <c r="N93">
        <v>0</v>
      </c>
      <c r="O93">
        <v>45</v>
      </c>
    </row>
    <row r="94" spans="1:15" x14ac:dyDescent="0.25">
      <c r="A94" t="s">
        <v>18</v>
      </c>
      <c r="B94">
        <v>17</v>
      </c>
      <c r="C94">
        <v>6</v>
      </c>
      <c r="D94">
        <v>79</v>
      </c>
      <c r="E94">
        <v>45</v>
      </c>
      <c r="F94">
        <v>3358</v>
      </c>
      <c r="G94">
        <v>5000</v>
      </c>
      <c r="H94">
        <v>12.5</v>
      </c>
      <c r="I94">
        <v>5</v>
      </c>
      <c r="J94">
        <v>78</v>
      </c>
      <c r="K94">
        <v>21.7948717948717</v>
      </c>
      <c r="L94">
        <v>17.147435897435798</v>
      </c>
      <c r="M94">
        <v>52.716346153846096</v>
      </c>
      <c r="N94">
        <v>0</v>
      </c>
      <c r="O94">
        <v>45</v>
      </c>
    </row>
    <row r="95" spans="1:15" x14ac:dyDescent="0.25">
      <c r="A95" t="s">
        <v>18</v>
      </c>
      <c r="B95">
        <v>17</v>
      </c>
      <c r="C95">
        <v>7</v>
      </c>
      <c r="D95">
        <v>80</v>
      </c>
      <c r="E95">
        <v>45</v>
      </c>
      <c r="F95">
        <v>3403</v>
      </c>
      <c r="G95">
        <v>5000</v>
      </c>
      <c r="H95">
        <v>12.5</v>
      </c>
      <c r="I95">
        <v>5</v>
      </c>
      <c r="J95">
        <v>78</v>
      </c>
      <c r="K95">
        <v>21.7948717948717</v>
      </c>
      <c r="L95">
        <v>17.147435897435798</v>
      </c>
      <c r="M95">
        <v>52.716346153846096</v>
      </c>
      <c r="N95">
        <v>0</v>
      </c>
      <c r="O95">
        <v>45</v>
      </c>
    </row>
    <row r="96" spans="1:15" x14ac:dyDescent="0.25">
      <c r="A96" t="s">
        <v>18</v>
      </c>
      <c r="B96">
        <v>17</v>
      </c>
      <c r="C96">
        <v>8</v>
      </c>
      <c r="D96">
        <v>84</v>
      </c>
      <c r="E96">
        <v>45</v>
      </c>
      <c r="F96">
        <v>3614</v>
      </c>
      <c r="G96">
        <v>5000</v>
      </c>
      <c r="H96">
        <v>12.5</v>
      </c>
      <c r="I96">
        <v>5</v>
      </c>
      <c r="J96">
        <v>78</v>
      </c>
      <c r="K96">
        <v>21.7948717948717</v>
      </c>
      <c r="L96">
        <v>17.147435897435798</v>
      </c>
      <c r="M96">
        <v>52.716346153846096</v>
      </c>
      <c r="N96">
        <v>0</v>
      </c>
      <c r="O96">
        <v>45</v>
      </c>
    </row>
    <row r="97" spans="1:15" x14ac:dyDescent="0.25">
      <c r="A97" t="s">
        <v>18</v>
      </c>
      <c r="B97">
        <v>18</v>
      </c>
      <c r="C97">
        <v>1</v>
      </c>
      <c r="D97">
        <v>67</v>
      </c>
      <c r="E97">
        <v>83</v>
      </c>
      <c r="F97">
        <v>2411</v>
      </c>
      <c r="G97">
        <v>5000</v>
      </c>
      <c r="H97">
        <v>12.5</v>
      </c>
      <c r="I97">
        <v>5</v>
      </c>
      <c r="J97">
        <v>78</v>
      </c>
      <c r="K97">
        <v>23.076923076922998</v>
      </c>
      <c r="L97">
        <v>17.788461538461501</v>
      </c>
      <c r="M97">
        <v>97.764423076922995</v>
      </c>
      <c r="N97">
        <v>0</v>
      </c>
      <c r="O97">
        <v>97</v>
      </c>
    </row>
    <row r="98" spans="1:15" x14ac:dyDescent="0.25">
      <c r="A98" t="s">
        <v>18</v>
      </c>
      <c r="B98">
        <v>18</v>
      </c>
      <c r="C98">
        <v>2</v>
      </c>
      <c r="D98">
        <v>68</v>
      </c>
      <c r="E98">
        <v>83</v>
      </c>
      <c r="F98">
        <v>2508</v>
      </c>
      <c r="G98">
        <v>5000</v>
      </c>
      <c r="H98">
        <v>12.5</v>
      </c>
      <c r="I98">
        <v>5</v>
      </c>
      <c r="J98">
        <v>78</v>
      </c>
      <c r="K98">
        <v>23.076923076922998</v>
      </c>
      <c r="L98">
        <v>17.788461538461501</v>
      </c>
      <c r="M98">
        <v>97.764423076922995</v>
      </c>
      <c r="N98">
        <v>2.95288461538461</v>
      </c>
      <c r="O98">
        <v>95</v>
      </c>
    </row>
    <row r="99" spans="1:15" x14ac:dyDescent="0.25">
      <c r="A99" t="s">
        <v>18</v>
      </c>
      <c r="B99">
        <v>18</v>
      </c>
      <c r="C99">
        <v>3</v>
      </c>
      <c r="D99">
        <v>78</v>
      </c>
      <c r="E99">
        <v>83</v>
      </c>
      <c r="F99">
        <v>2891</v>
      </c>
      <c r="G99">
        <v>5000</v>
      </c>
      <c r="H99">
        <v>12.5</v>
      </c>
      <c r="I99">
        <v>5</v>
      </c>
      <c r="J99">
        <v>78</v>
      </c>
      <c r="K99">
        <v>23.076923076922998</v>
      </c>
      <c r="L99">
        <v>17.788461538461501</v>
      </c>
      <c r="M99">
        <v>97.764423076922995</v>
      </c>
      <c r="N99">
        <v>5.9057692307692298</v>
      </c>
      <c r="O99">
        <v>92</v>
      </c>
    </row>
    <row r="100" spans="1:15" x14ac:dyDescent="0.25">
      <c r="A100" t="s">
        <v>18</v>
      </c>
      <c r="B100">
        <v>18</v>
      </c>
      <c r="C100">
        <v>4</v>
      </c>
      <c r="D100">
        <v>83</v>
      </c>
      <c r="E100">
        <v>83</v>
      </c>
      <c r="F100">
        <v>3525</v>
      </c>
      <c r="G100">
        <v>5000</v>
      </c>
      <c r="H100">
        <v>12.5</v>
      </c>
      <c r="I100">
        <v>5</v>
      </c>
      <c r="J100">
        <v>78</v>
      </c>
      <c r="K100">
        <v>23.076923076922998</v>
      </c>
      <c r="L100">
        <v>17.788461538461501</v>
      </c>
      <c r="M100">
        <v>97.764423076922995</v>
      </c>
      <c r="N100">
        <v>8.8586538461538495</v>
      </c>
      <c r="O100">
        <v>89</v>
      </c>
    </row>
    <row r="101" spans="1:15" x14ac:dyDescent="0.25">
      <c r="A101" t="s">
        <v>18</v>
      </c>
      <c r="B101">
        <v>18</v>
      </c>
      <c r="C101">
        <v>5</v>
      </c>
      <c r="D101">
        <v>92</v>
      </c>
      <c r="E101">
        <v>83</v>
      </c>
      <c r="F101">
        <v>3730</v>
      </c>
      <c r="G101">
        <v>5000</v>
      </c>
      <c r="H101">
        <v>12.5</v>
      </c>
      <c r="I101">
        <v>5</v>
      </c>
      <c r="J101">
        <v>78</v>
      </c>
      <c r="K101">
        <v>23.076923076922998</v>
      </c>
      <c r="L101">
        <v>17.788461538461501</v>
      </c>
      <c r="M101">
        <v>97.764423076922995</v>
      </c>
      <c r="N101">
        <v>0</v>
      </c>
      <c r="O101">
        <v>83</v>
      </c>
    </row>
    <row r="102" spans="1:15" x14ac:dyDescent="0.25">
      <c r="A102" t="s">
        <v>18</v>
      </c>
      <c r="B102">
        <v>18</v>
      </c>
      <c r="C102">
        <v>6</v>
      </c>
      <c r="D102">
        <v>96</v>
      </c>
      <c r="E102">
        <v>83</v>
      </c>
      <c r="F102">
        <v>3890</v>
      </c>
      <c r="G102">
        <v>5000</v>
      </c>
      <c r="H102">
        <v>12.5</v>
      </c>
      <c r="I102">
        <v>5</v>
      </c>
      <c r="J102">
        <v>78</v>
      </c>
      <c r="K102">
        <v>23.076923076922998</v>
      </c>
      <c r="L102">
        <v>17.788461538461501</v>
      </c>
      <c r="M102">
        <v>97.764423076922995</v>
      </c>
      <c r="N102">
        <v>0</v>
      </c>
      <c r="O102">
        <v>83</v>
      </c>
    </row>
    <row r="103" spans="1:15" x14ac:dyDescent="0.25">
      <c r="A103" t="s">
        <v>18</v>
      </c>
      <c r="B103">
        <v>19</v>
      </c>
      <c r="C103">
        <v>1</v>
      </c>
      <c r="D103">
        <v>70</v>
      </c>
      <c r="E103">
        <v>34</v>
      </c>
      <c r="F103">
        <v>2628</v>
      </c>
      <c r="G103">
        <v>5000</v>
      </c>
      <c r="H103">
        <v>12.5</v>
      </c>
      <c r="I103">
        <v>5</v>
      </c>
      <c r="J103">
        <v>78</v>
      </c>
      <c r="K103">
        <v>24.358974358974301</v>
      </c>
      <c r="L103">
        <v>18.429487179487101</v>
      </c>
      <c r="M103">
        <v>40.2660256410256</v>
      </c>
      <c r="N103">
        <v>0</v>
      </c>
      <c r="O103">
        <v>40</v>
      </c>
    </row>
    <row r="104" spans="1:15" x14ac:dyDescent="0.25">
      <c r="A104" t="s">
        <v>18</v>
      </c>
      <c r="B104">
        <v>19</v>
      </c>
      <c r="C104">
        <v>2</v>
      </c>
      <c r="D104">
        <v>81</v>
      </c>
      <c r="E104">
        <v>34</v>
      </c>
      <c r="F104">
        <v>3448</v>
      </c>
      <c r="G104">
        <v>5000</v>
      </c>
      <c r="H104">
        <v>12.5</v>
      </c>
      <c r="I104">
        <v>5</v>
      </c>
      <c r="J104">
        <v>78</v>
      </c>
      <c r="K104">
        <v>24.358974358974301</v>
      </c>
      <c r="L104">
        <v>18.429487179487101</v>
      </c>
      <c r="M104">
        <v>40.2660256410256</v>
      </c>
      <c r="N104">
        <v>1.25320512820512</v>
      </c>
      <c r="O104">
        <v>39</v>
      </c>
    </row>
    <row r="105" spans="1:15" x14ac:dyDescent="0.25">
      <c r="A105" t="s">
        <v>18</v>
      </c>
      <c r="B105">
        <v>19</v>
      </c>
      <c r="C105">
        <v>3</v>
      </c>
      <c r="D105">
        <v>82</v>
      </c>
      <c r="E105">
        <v>34</v>
      </c>
      <c r="F105">
        <v>3487</v>
      </c>
      <c r="G105">
        <v>5000</v>
      </c>
      <c r="H105">
        <v>12.5</v>
      </c>
      <c r="I105">
        <v>5</v>
      </c>
      <c r="J105">
        <v>78</v>
      </c>
      <c r="K105">
        <v>24.358974358974301</v>
      </c>
      <c r="L105">
        <v>18.429487179487101</v>
      </c>
      <c r="M105">
        <v>40.2660256410256</v>
      </c>
      <c r="N105">
        <v>2.5064102564102502</v>
      </c>
      <c r="O105">
        <v>38</v>
      </c>
    </row>
    <row r="106" spans="1:15" x14ac:dyDescent="0.25">
      <c r="A106" t="s">
        <v>18</v>
      </c>
      <c r="B106">
        <v>19</v>
      </c>
      <c r="C106">
        <v>4</v>
      </c>
      <c r="D106">
        <v>95</v>
      </c>
      <c r="E106">
        <v>34</v>
      </c>
      <c r="F106">
        <v>3853</v>
      </c>
      <c r="G106">
        <v>5000</v>
      </c>
      <c r="H106">
        <v>12.5</v>
      </c>
      <c r="I106">
        <v>5</v>
      </c>
      <c r="J106">
        <v>78</v>
      </c>
      <c r="K106">
        <v>24.358974358974301</v>
      </c>
      <c r="L106">
        <v>18.429487179487101</v>
      </c>
      <c r="M106">
        <v>40.2660256410256</v>
      </c>
      <c r="N106">
        <v>3.7596153846153801</v>
      </c>
      <c r="O106">
        <v>37</v>
      </c>
    </row>
    <row r="107" spans="1:15" x14ac:dyDescent="0.25">
      <c r="A107" t="s">
        <v>18</v>
      </c>
      <c r="B107">
        <v>20</v>
      </c>
      <c r="C107">
        <v>1</v>
      </c>
      <c r="D107">
        <v>74</v>
      </c>
      <c r="E107">
        <v>6</v>
      </c>
      <c r="F107">
        <v>2767</v>
      </c>
      <c r="G107">
        <v>5000</v>
      </c>
      <c r="H107">
        <v>12.5</v>
      </c>
      <c r="I107">
        <v>5</v>
      </c>
      <c r="J107">
        <v>78</v>
      </c>
      <c r="K107">
        <v>25.6410256410256</v>
      </c>
      <c r="L107">
        <v>19.0705128205128</v>
      </c>
      <c r="M107">
        <v>7.1442307692307603</v>
      </c>
      <c r="N107">
        <v>0</v>
      </c>
      <c r="O107">
        <v>7</v>
      </c>
    </row>
    <row r="108" spans="1:15" x14ac:dyDescent="0.25">
      <c r="A108" t="s">
        <v>21</v>
      </c>
      <c r="B108">
        <v>1</v>
      </c>
      <c r="C108">
        <v>1</v>
      </c>
      <c r="D108">
        <v>1</v>
      </c>
      <c r="E108">
        <v>43</v>
      </c>
      <c r="F108">
        <v>0</v>
      </c>
      <c r="G108">
        <v>5000</v>
      </c>
      <c r="H108">
        <v>12.5</v>
      </c>
      <c r="I108">
        <v>5</v>
      </c>
      <c r="J108">
        <v>78</v>
      </c>
      <c r="K108">
        <v>1.2820512820512799</v>
      </c>
      <c r="L108">
        <v>6.8910256410256396</v>
      </c>
      <c r="M108">
        <v>45.963141025641001</v>
      </c>
      <c r="N108">
        <v>0</v>
      </c>
      <c r="O108">
        <v>45</v>
      </c>
    </row>
    <row r="109" spans="1:15" x14ac:dyDescent="0.25">
      <c r="A109" t="s">
        <v>21</v>
      </c>
      <c r="B109">
        <v>1</v>
      </c>
      <c r="C109">
        <v>2</v>
      </c>
      <c r="D109">
        <v>34</v>
      </c>
      <c r="E109">
        <v>43</v>
      </c>
      <c r="F109">
        <v>466</v>
      </c>
      <c r="G109">
        <v>5000</v>
      </c>
      <c r="H109">
        <v>12.5</v>
      </c>
      <c r="I109">
        <v>5</v>
      </c>
      <c r="J109">
        <v>78</v>
      </c>
      <c r="K109">
        <v>1.2820512820512799</v>
      </c>
      <c r="L109">
        <v>6.8910256410256396</v>
      </c>
      <c r="M109">
        <v>45.963141025641001</v>
      </c>
      <c r="N109">
        <v>0.59262820512820502</v>
      </c>
      <c r="O109">
        <v>45</v>
      </c>
    </row>
    <row r="110" spans="1:15" x14ac:dyDescent="0.25">
      <c r="A110" t="s">
        <v>21</v>
      </c>
      <c r="B110">
        <v>1</v>
      </c>
      <c r="C110">
        <v>3</v>
      </c>
      <c r="D110">
        <v>35</v>
      </c>
      <c r="E110">
        <v>43</v>
      </c>
      <c r="F110">
        <v>511</v>
      </c>
      <c r="G110">
        <v>5000</v>
      </c>
      <c r="H110">
        <v>12.5</v>
      </c>
      <c r="I110">
        <v>5</v>
      </c>
      <c r="J110">
        <v>78</v>
      </c>
      <c r="K110">
        <v>1.2820512820512799</v>
      </c>
      <c r="L110">
        <v>6.8910256410256396</v>
      </c>
      <c r="M110">
        <v>45.963141025641001</v>
      </c>
      <c r="N110">
        <v>1.18525641025641</v>
      </c>
      <c r="O110">
        <v>44</v>
      </c>
    </row>
    <row r="111" spans="1:15" x14ac:dyDescent="0.25">
      <c r="A111" t="s">
        <v>21</v>
      </c>
      <c r="B111">
        <v>1</v>
      </c>
      <c r="C111">
        <v>4</v>
      </c>
      <c r="D111">
        <v>36</v>
      </c>
      <c r="E111">
        <v>43</v>
      </c>
      <c r="F111">
        <v>555</v>
      </c>
      <c r="G111">
        <v>5000</v>
      </c>
      <c r="H111">
        <v>12.5</v>
      </c>
      <c r="I111">
        <v>5</v>
      </c>
      <c r="J111">
        <v>78</v>
      </c>
      <c r="K111">
        <v>1.2820512820512799</v>
      </c>
      <c r="L111">
        <v>6.8910256410256396</v>
      </c>
      <c r="M111">
        <v>45.963141025641001</v>
      </c>
      <c r="N111">
        <v>1.77788461538461</v>
      </c>
      <c r="O111">
        <v>44</v>
      </c>
    </row>
    <row r="112" spans="1:15" x14ac:dyDescent="0.25">
      <c r="A112" t="s">
        <v>21</v>
      </c>
      <c r="B112">
        <v>1</v>
      </c>
      <c r="C112">
        <v>5</v>
      </c>
      <c r="D112">
        <v>42</v>
      </c>
      <c r="E112">
        <v>43</v>
      </c>
      <c r="F112">
        <v>876</v>
      </c>
      <c r="G112">
        <v>5000</v>
      </c>
      <c r="H112">
        <v>12.5</v>
      </c>
      <c r="I112">
        <v>5</v>
      </c>
      <c r="J112">
        <v>78</v>
      </c>
      <c r="K112">
        <v>1.2820512820512799</v>
      </c>
      <c r="L112">
        <v>6.8910256410256396</v>
      </c>
      <c r="M112">
        <v>45.963141025641001</v>
      </c>
      <c r="N112">
        <v>0</v>
      </c>
      <c r="O112">
        <v>43</v>
      </c>
    </row>
    <row r="113" spans="1:15" x14ac:dyDescent="0.25">
      <c r="A113" t="s">
        <v>21</v>
      </c>
      <c r="B113">
        <v>1</v>
      </c>
      <c r="C113">
        <v>6</v>
      </c>
      <c r="D113">
        <v>52</v>
      </c>
      <c r="E113">
        <v>43</v>
      </c>
      <c r="F113">
        <v>1251</v>
      </c>
      <c r="G113">
        <v>5000</v>
      </c>
      <c r="H113">
        <v>12.5</v>
      </c>
      <c r="I113">
        <v>5</v>
      </c>
      <c r="J113">
        <v>78</v>
      </c>
      <c r="K113">
        <v>1.2820512820512799</v>
      </c>
      <c r="L113">
        <v>6.8910256410256396</v>
      </c>
      <c r="M113">
        <v>45.963141025641001</v>
      </c>
      <c r="N113">
        <v>0</v>
      </c>
      <c r="O113">
        <v>43</v>
      </c>
    </row>
    <row r="114" spans="1:15" x14ac:dyDescent="0.25">
      <c r="A114" t="s">
        <v>21</v>
      </c>
      <c r="B114">
        <v>1</v>
      </c>
      <c r="C114">
        <v>7</v>
      </c>
      <c r="D114">
        <v>53</v>
      </c>
      <c r="E114">
        <v>43</v>
      </c>
      <c r="F114">
        <v>1294</v>
      </c>
      <c r="G114">
        <v>5000</v>
      </c>
      <c r="H114">
        <v>12.5</v>
      </c>
      <c r="I114">
        <v>5</v>
      </c>
      <c r="J114">
        <v>78</v>
      </c>
      <c r="K114">
        <v>1.2820512820512799</v>
      </c>
      <c r="L114">
        <v>6.8910256410256396</v>
      </c>
      <c r="M114">
        <v>45.963141025641001</v>
      </c>
      <c r="N114">
        <v>0</v>
      </c>
      <c r="O114">
        <v>43</v>
      </c>
    </row>
    <row r="115" spans="1:15" x14ac:dyDescent="0.25">
      <c r="A115" t="s">
        <v>21</v>
      </c>
      <c r="B115">
        <v>1</v>
      </c>
      <c r="C115">
        <v>8</v>
      </c>
      <c r="D115">
        <v>55</v>
      </c>
      <c r="E115">
        <v>43</v>
      </c>
      <c r="F115">
        <v>1382</v>
      </c>
      <c r="G115">
        <v>5000</v>
      </c>
      <c r="H115">
        <v>12.5</v>
      </c>
      <c r="I115">
        <v>5</v>
      </c>
      <c r="J115">
        <v>78</v>
      </c>
      <c r="K115">
        <v>1.2820512820512799</v>
      </c>
      <c r="L115">
        <v>6.8910256410256396</v>
      </c>
      <c r="M115">
        <v>45.963141025641001</v>
      </c>
      <c r="N115">
        <v>0</v>
      </c>
      <c r="O115">
        <v>43</v>
      </c>
    </row>
    <row r="116" spans="1:15" x14ac:dyDescent="0.25">
      <c r="A116" t="s">
        <v>21</v>
      </c>
      <c r="B116">
        <v>1</v>
      </c>
      <c r="C116">
        <v>9</v>
      </c>
      <c r="D116">
        <v>58</v>
      </c>
      <c r="E116">
        <v>43</v>
      </c>
      <c r="F116">
        <v>1473</v>
      </c>
      <c r="G116">
        <v>5000</v>
      </c>
      <c r="H116">
        <v>12.5</v>
      </c>
      <c r="I116">
        <v>5</v>
      </c>
      <c r="J116">
        <v>78</v>
      </c>
      <c r="K116">
        <v>1.2820512820512799</v>
      </c>
      <c r="L116">
        <v>6.8910256410256396</v>
      </c>
      <c r="M116">
        <v>45.963141025641001</v>
      </c>
      <c r="N116">
        <v>0</v>
      </c>
      <c r="O116">
        <v>43</v>
      </c>
    </row>
    <row r="117" spans="1:15" x14ac:dyDescent="0.25">
      <c r="A117" t="s">
        <v>21</v>
      </c>
      <c r="B117">
        <v>1</v>
      </c>
      <c r="C117">
        <v>10</v>
      </c>
      <c r="D117">
        <v>59</v>
      </c>
      <c r="E117">
        <v>43</v>
      </c>
      <c r="F117">
        <v>1516</v>
      </c>
      <c r="G117">
        <v>5000</v>
      </c>
      <c r="H117">
        <v>12.5</v>
      </c>
      <c r="I117">
        <v>5</v>
      </c>
      <c r="J117">
        <v>78</v>
      </c>
      <c r="K117">
        <v>1.2820512820512799</v>
      </c>
      <c r="L117">
        <v>6.8910256410256396</v>
      </c>
      <c r="M117">
        <v>45.963141025641001</v>
      </c>
      <c r="N117">
        <v>0</v>
      </c>
      <c r="O117">
        <v>43</v>
      </c>
    </row>
    <row r="118" spans="1:15" x14ac:dyDescent="0.25">
      <c r="A118" t="s">
        <v>21</v>
      </c>
      <c r="B118">
        <v>1</v>
      </c>
      <c r="C118">
        <v>11</v>
      </c>
      <c r="D118">
        <v>64</v>
      </c>
      <c r="E118">
        <v>43</v>
      </c>
      <c r="F118">
        <v>1863</v>
      </c>
      <c r="G118">
        <v>5000</v>
      </c>
      <c r="H118">
        <v>12.5</v>
      </c>
      <c r="I118">
        <v>5</v>
      </c>
      <c r="J118">
        <v>78</v>
      </c>
      <c r="K118">
        <v>1.2820512820512799</v>
      </c>
      <c r="L118">
        <v>6.8910256410256396</v>
      </c>
      <c r="M118">
        <v>45.963141025641001</v>
      </c>
      <c r="N118">
        <v>11.706212499999999</v>
      </c>
      <c r="O118">
        <v>31</v>
      </c>
    </row>
    <row r="119" spans="1:15" x14ac:dyDescent="0.25">
      <c r="A119" t="s">
        <v>21</v>
      </c>
      <c r="B119">
        <v>1</v>
      </c>
      <c r="C119">
        <v>12</v>
      </c>
      <c r="D119">
        <v>65</v>
      </c>
      <c r="E119">
        <v>43</v>
      </c>
      <c r="F119">
        <v>1894</v>
      </c>
      <c r="G119">
        <v>5000</v>
      </c>
      <c r="H119">
        <v>12.5</v>
      </c>
      <c r="I119">
        <v>5</v>
      </c>
      <c r="J119">
        <v>78</v>
      </c>
      <c r="K119">
        <v>1.2820512820512799</v>
      </c>
      <c r="L119">
        <v>6.8910256410256396</v>
      </c>
      <c r="M119">
        <v>45.963141025641001</v>
      </c>
      <c r="N119">
        <v>12.1134307692307</v>
      </c>
      <c r="O119">
        <v>30</v>
      </c>
    </row>
    <row r="120" spans="1:15" x14ac:dyDescent="0.25">
      <c r="A120" t="s">
        <v>21</v>
      </c>
      <c r="B120">
        <v>1</v>
      </c>
      <c r="C120">
        <v>13</v>
      </c>
      <c r="D120">
        <v>66</v>
      </c>
      <c r="E120">
        <v>43</v>
      </c>
      <c r="F120">
        <v>1924</v>
      </c>
      <c r="G120">
        <v>5000</v>
      </c>
      <c r="H120">
        <v>12.5</v>
      </c>
      <c r="I120">
        <v>5</v>
      </c>
      <c r="J120">
        <v>78</v>
      </c>
      <c r="K120">
        <v>1.2820512820512799</v>
      </c>
      <c r="L120">
        <v>6.8910256410256396</v>
      </c>
      <c r="M120">
        <v>45.963141025641001</v>
      </c>
      <c r="N120">
        <v>12.5080484848484</v>
      </c>
      <c r="O120">
        <v>30</v>
      </c>
    </row>
    <row r="121" spans="1:15" x14ac:dyDescent="0.25">
      <c r="A121" t="s">
        <v>21</v>
      </c>
      <c r="B121">
        <v>1</v>
      </c>
      <c r="C121">
        <v>14</v>
      </c>
      <c r="D121">
        <v>69</v>
      </c>
      <c r="E121">
        <v>43</v>
      </c>
      <c r="F121">
        <v>2210</v>
      </c>
      <c r="G121">
        <v>5000</v>
      </c>
      <c r="H121">
        <v>12.5</v>
      </c>
      <c r="I121">
        <v>5</v>
      </c>
      <c r="J121">
        <v>78</v>
      </c>
      <c r="K121">
        <v>1.2820512820512799</v>
      </c>
      <c r="L121">
        <v>6.8910256410256396</v>
      </c>
      <c r="M121">
        <v>45.963141025641001</v>
      </c>
      <c r="N121">
        <v>13.8653188405797</v>
      </c>
      <c r="O121">
        <v>29</v>
      </c>
    </row>
    <row r="122" spans="1:15" x14ac:dyDescent="0.25">
      <c r="A122" t="s">
        <v>21</v>
      </c>
      <c r="B122">
        <v>1</v>
      </c>
      <c r="C122">
        <v>15</v>
      </c>
      <c r="D122">
        <v>72</v>
      </c>
      <c r="E122">
        <v>43</v>
      </c>
      <c r="F122">
        <v>2318</v>
      </c>
      <c r="G122">
        <v>5000</v>
      </c>
      <c r="H122">
        <v>12.5</v>
      </c>
      <c r="I122">
        <v>5</v>
      </c>
      <c r="J122">
        <v>78</v>
      </c>
      <c r="K122">
        <v>1.2820512820512799</v>
      </c>
      <c r="L122">
        <v>6.8910256410256396</v>
      </c>
      <c r="M122">
        <v>45.963141025641001</v>
      </c>
      <c r="N122">
        <v>14.4465666666666</v>
      </c>
      <c r="O122">
        <v>28</v>
      </c>
    </row>
    <row r="123" spans="1:15" x14ac:dyDescent="0.25">
      <c r="A123" t="s">
        <v>21</v>
      </c>
      <c r="B123">
        <v>1</v>
      </c>
      <c r="C123">
        <v>16</v>
      </c>
      <c r="D123">
        <v>79</v>
      </c>
      <c r="E123">
        <v>43</v>
      </c>
      <c r="F123">
        <v>2681</v>
      </c>
      <c r="G123">
        <v>5000</v>
      </c>
      <c r="H123">
        <v>12.5</v>
      </c>
      <c r="I123">
        <v>5</v>
      </c>
      <c r="J123">
        <v>78</v>
      </c>
      <c r="K123">
        <v>1.2820512820512799</v>
      </c>
      <c r="L123">
        <v>6.8910256410256396</v>
      </c>
      <c r="M123">
        <v>45.963141025641001</v>
      </c>
      <c r="N123">
        <v>15.8827303797468</v>
      </c>
      <c r="O123">
        <v>27</v>
      </c>
    </row>
    <row r="124" spans="1:15" x14ac:dyDescent="0.25">
      <c r="A124" t="s">
        <v>21</v>
      </c>
      <c r="B124">
        <v>1</v>
      </c>
      <c r="C124">
        <v>17</v>
      </c>
      <c r="D124">
        <v>80</v>
      </c>
      <c r="E124">
        <v>43</v>
      </c>
      <c r="F124">
        <v>2708</v>
      </c>
      <c r="G124">
        <v>5000</v>
      </c>
      <c r="H124">
        <v>12.5</v>
      </c>
      <c r="I124">
        <v>5</v>
      </c>
      <c r="J124">
        <v>78</v>
      </c>
      <c r="K124">
        <v>1.2820512820512799</v>
      </c>
      <c r="L124">
        <v>6.8910256410256396</v>
      </c>
      <c r="M124">
        <v>45.963141025641001</v>
      </c>
      <c r="N124">
        <v>16.213149999999999</v>
      </c>
      <c r="O124">
        <v>26</v>
      </c>
    </row>
    <row r="125" spans="1:15" x14ac:dyDescent="0.25">
      <c r="A125" t="s">
        <v>21</v>
      </c>
      <c r="B125">
        <v>1</v>
      </c>
      <c r="C125">
        <v>18</v>
      </c>
      <c r="D125">
        <v>81</v>
      </c>
      <c r="E125">
        <v>43</v>
      </c>
      <c r="F125">
        <v>2734</v>
      </c>
      <c r="G125">
        <v>5000</v>
      </c>
      <c r="H125">
        <v>12.5</v>
      </c>
      <c r="I125">
        <v>5</v>
      </c>
      <c r="J125">
        <v>78</v>
      </c>
      <c r="K125">
        <v>1.2820512820512799</v>
      </c>
      <c r="L125">
        <v>6.8910256410256396</v>
      </c>
      <c r="M125">
        <v>45.963141025641001</v>
      </c>
      <c r="N125">
        <v>16.5339777777777</v>
      </c>
      <c r="O125">
        <v>26</v>
      </c>
    </row>
    <row r="126" spans="1:15" x14ac:dyDescent="0.25">
      <c r="A126" t="s">
        <v>21</v>
      </c>
      <c r="B126">
        <v>1</v>
      </c>
      <c r="C126">
        <v>19</v>
      </c>
      <c r="D126">
        <v>82</v>
      </c>
      <c r="E126">
        <v>43</v>
      </c>
      <c r="F126">
        <v>2760</v>
      </c>
      <c r="G126">
        <v>5000</v>
      </c>
      <c r="H126">
        <v>12.5</v>
      </c>
      <c r="I126">
        <v>5</v>
      </c>
      <c r="J126">
        <v>78</v>
      </c>
      <c r="K126">
        <v>1.2820512820512799</v>
      </c>
      <c r="L126">
        <v>6.8910256410256396</v>
      </c>
      <c r="M126">
        <v>45.963141025641001</v>
      </c>
      <c r="N126">
        <v>16.849707317073101</v>
      </c>
      <c r="O126">
        <v>26</v>
      </c>
    </row>
    <row r="127" spans="1:15" x14ac:dyDescent="0.25">
      <c r="A127" t="s">
        <v>21</v>
      </c>
      <c r="B127">
        <v>1</v>
      </c>
      <c r="C127">
        <v>20</v>
      </c>
      <c r="D127">
        <v>83</v>
      </c>
      <c r="E127">
        <v>43</v>
      </c>
      <c r="F127">
        <v>2786</v>
      </c>
      <c r="G127">
        <v>5000</v>
      </c>
      <c r="H127">
        <v>12.5</v>
      </c>
      <c r="I127">
        <v>5</v>
      </c>
      <c r="J127">
        <v>78</v>
      </c>
      <c r="K127">
        <v>1.2820512820512799</v>
      </c>
      <c r="L127">
        <v>6.8910256410256396</v>
      </c>
      <c r="M127">
        <v>45.963141025641001</v>
      </c>
      <c r="N127">
        <v>17.160522891566199</v>
      </c>
      <c r="O127">
        <v>25</v>
      </c>
    </row>
    <row r="128" spans="1:15" x14ac:dyDescent="0.25">
      <c r="A128" t="s">
        <v>21</v>
      </c>
      <c r="B128">
        <v>1</v>
      </c>
      <c r="C128">
        <v>21</v>
      </c>
      <c r="D128">
        <v>84</v>
      </c>
      <c r="E128">
        <v>43</v>
      </c>
      <c r="F128">
        <v>2811</v>
      </c>
      <c r="G128">
        <v>5000</v>
      </c>
      <c r="H128">
        <v>12.5</v>
      </c>
      <c r="I128">
        <v>5</v>
      </c>
      <c r="J128">
        <v>78</v>
      </c>
      <c r="K128">
        <v>1.2820512820512799</v>
      </c>
      <c r="L128">
        <v>6.8910256410256396</v>
      </c>
      <c r="M128">
        <v>45.963141025641001</v>
      </c>
      <c r="N128">
        <v>17.462299999999999</v>
      </c>
      <c r="O128">
        <v>25</v>
      </c>
    </row>
    <row r="129" spans="1:15" x14ac:dyDescent="0.25">
      <c r="A129" t="s">
        <v>21</v>
      </c>
      <c r="B129">
        <v>1</v>
      </c>
      <c r="C129">
        <v>22</v>
      </c>
      <c r="D129">
        <v>85</v>
      </c>
      <c r="E129">
        <v>43</v>
      </c>
      <c r="F129">
        <v>2836</v>
      </c>
      <c r="G129">
        <v>5000</v>
      </c>
      <c r="H129">
        <v>12.5</v>
      </c>
      <c r="I129">
        <v>5</v>
      </c>
      <c r="J129">
        <v>78</v>
      </c>
      <c r="K129">
        <v>1.2820512820512799</v>
      </c>
      <c r="L129">
        <v>6.8910256410256396</v>
      </c>
      <c r="M129">
        <v>45.963141025641001</v>
      </c>
      <c r="N129">
        <v>17.759505882352901</v>
      </c>
      <c r="O129">
        <v>25</v>
      </c>
    </row>
    <row r="130" spans="1:15" x14ac:dyDescent="0.25">
      <c r="A130" t="s">
        <v>21</v>
      </c>
      <c r="B130">
        <v>1</v>
      </c>
      <c r="C130">
        <v>23</v>
      </c>
      <c r="D130">
        <v>86</v>
      </c>
      <c r="E130">
        <v>43</v>
      </c>
      <c r="F130">
        <v>2861</v>
      </c>
      <c r="G130">
        <v>5000</v>
      </c>
      <c r="H130">
        <v>12.5</v>
      </c>
      <c r="I130">
        <v>5</v>
      </c>
      <c r="J130">
        <v>78</v>
      </c>
      <c r="K130">
        <v>1.2820512820512799</v>
      </c>
      <c r="L130">
        <v>6.8910256410256396</v>
      </c>
      <c r="M130">
        <v>45.963141025641001</v>
      </c>
      <c r="N130">
        <v>18.052299999999999</v>
      </c>
      <c r="O130">
        <v>24</v>
      </c>
    </row>
    <row r="131" spans="1:15" x14ac:dyDescent="0.25">
      <c r="A131" t="s">
        <v>21</v>
      </c>
      <c r="B131">
        <v>2</v>
      </c>
      <c r="C131">
        <v>1</v>
      </c>
      <c r="D131">
        <v>2</v>
      </c>
      <c r="E131">
        <v>4</v>
      </c>
      <c r="F131">
        <v>45</v>
      </c>
      <c r="G131">
        <v>5000</v>
      </c>
      <c r="H131">
        <v>12.5</v>
      </c>
      <c r="I131">
        <v>5</v>
      </c>
      <c r="J131">
        <v>78</v>
      </c>
      <c r="K131">
        <v>2.5641025641025599</v>
      </c>
      <c r="L131">
        <v>7.5320512820512802</v>
      </c>
      <c r="M131">
        <v>4.3012820512820502</v>
      </c>
      <c r="N131">
        <v>0</v>
      </c>
      <c r="O131">
        <v>4</v>
      </c>
    </row>
    <row r="132" spans="1:15" x14ac:dyDescent="0.25">
      <c r="A132" t="s">
        <v>21</v>
      </c>
      <c r="B132">
        <v>2</v>
      </c>
      <c r="C132">
        <v>2</v>
      </c>
      <c r="D132">
        <v>3</v>
      </c>
      <c r="E132">
        <v>4</v>
      </c>
      <c r="F132">
        <v>49</v>
      </c>
      <c r="G132">
        <v>5000</v>
      </c>
      <c r="H132">
        <v>12.5</v>
      </c>
      <c r="I132">
        <v>5</v>
      </c>
      <c r="J132">
        <v>78</v>
      </c>
      <c r="K132">
        <v>2.5641025641025599</v>
      </c>
      <c r="L132">
        <v>7.5320512820512802</v>
      </c>
      <c r="M132">
        <v>4.3012820512820502</v>
      </c>
      <c r="N132">
        <v>6.0256410256410202E-2</v>
      </c>
      <c r="O132">
        <v>4</v>
      </c>
    </row>
    <row r="133" spans="1:15" x14ac:dyDescent="0.25">
      <c r="A133" t="s">
        <v>21</v>
      </c>
      <c r="B133">
        <v>2</v>
      </c>
      <c r="C133">
        <v>3</v>
      </c>
      <c r="D133">
        <v>4</v>
      </c>
      <c r="E133">
        <v>4</v>
      </c>
      <c r="F133">
        <v>53</v>
      </c>
      <c r="G133">
        <v>5000</v>
      </c>
      <c r="H133">
        <v>12.5</v>
      </c>
      <c r="I133">
        <v>5</v>
      </c>
      <c r="J133">
        <v>78</v>
      </c>
      <c r="K133">
        <v>2.5641025641025599</v>
      </c>
      <c r="L133">
        <v>7.5320512820512802</v>
      </c>
      <c r="M133">
        <v>4.3012820512820502</v>
      </c>
      <c r="N133">
        <v>0.12051282051282</v>
      </c>
      <c r="O133">
        <v>4</v>
      </c>
    </row>
    <row r="134" spans="1:15" x14ac:dyDescent="0.25">
      <c r="A134" t="s">
        <v>21</v>
      </c>
      <c r="B134">
        <v>2</v>
      </c>
      <c r="C134">
        <v>4</v>
      </c>
      <c r="D134">
        <v>5</v>
      </c>
      <c r="E134">
        <v>4</v>
      </c>
      <c r="F134">
        <v>57</v>
      </c>
      <c r="G134">
        <v>5000</v>
      </c>
      <c r="H134">
        <v>12.5</v>
      </c>
      <c r="I134">
        <v>5</v>
      </c>
      <c r="J134">
        <v>78</v>
      </c>
      <c r="K134">
        <v>2.5641025641025599</v>
      </c>
      <c r="L134">
        <v>7.5320512820512802</v>
      </c>
      <c r="M134">
        <v>4.3012820512820502</v>
      </c>
      <c r="N134">
        <v>0.18076923076922999</v>
      </c>
      <c r="O134">
        <v>4</v>
      </c>
    </row>
    <row r="135" spans="1:15" x14ac:dyDescent="0.25">
      <c r="A135" t="s">
        <v>21</v>
      </c>
      <c r="B135">
        <v>2</v>
      </c>
      <c r="C135">
        <v>5</v>
      </c>
      <c r="D135">
        <v>23</v>
      </c>
      <c r="E135">
        <v>4</v>
      </c>
      <c r="F135">
        <v>352</v>
      </c>
      <c r="G135">
        <v>5000</v>
      </c>
      <c r="H135">
        <v>12.5</v>
      </c>
      <c r="I135">
        <v>5</v>
      </c>
      <c r="J135">
        <v>78</v>
      </c>
      <c r="K135">
        <v>2.5641025641025599</v>
      </c>
      <c r="L135">
        <v>7.5320512820512802</v>
      </c>
      <c r="M135">
        <v>4.3012820512820502</v>
      </c>
      <c r="N135">
        <v>0</v>
      </c>
      <c r="O135">
        <v>4</v>
      </c>
    </row>
    <row r="136" spans="1:15" x14ac:dyDescent="0.25">
      <c r="A136" t="s">
        <v>21</v>
      </c>
      <c r="B136">
        <v>2</v>
      </c>
      <c r="C136">
        <v>6</v>
      </c>
      <c r="D136">
        <v>24</v>
      </c>
      <c r="E136">
        <v>4</v>
      </c>
      <c r="F136">
        <v>356</v>
      </c>
      <c r="G136">
        <v>5000</v>
      </c>
      <c r="H136">
        <v>12.5</v>
      </c>
      <c r="I136">
        <v>5</v>
      </c>
      <c r="J136">
        <v>78</v>
      </c>
      <c r="K136">
        <v>2.5641025641025599</v>
      </c>
      <c r="L136">
        <v>7.5320512820512802</v>
      </c>
      <c r="M136">
        <v>4.3012820512820502</v>
      </c>
      <c r="N136">
        <v>0</v>
      </c>
      <c r="O136">
        <v>4</v>
      </c>
    </row>
    <row r="137" spans="1:15" x14ac:dyDescent="0.25">
      <c r="A137" t="s">
        <v>21</v>
      </c>
      <c r="B137">
        <v>2</v>
      </c>
      <c r="C137">
        <v>7</v>
      </c>
      <c r="D137">
        <v>25</v>
      </c>
      <c r="E137">
        <v>4</v>
      </c>
      <c r="F137">
        <v>360</v>
      </c>
      <c r="G137">
        <v>5000</v>
      </c>
      <c r="H137">
        <v>12.5</v>
      </c>
      <c r="I137">
        <v>5</v>
      </c>
      <c r="J137">
        <v>78</v>
      </c>
      <c r="K137">
        <v>2.5641025641025599</v>
      </c>
      <c r="L137">
        <v>7.5320512820512802</v>
      </c>
      <c r="M137">
        <v>4.3012820512820502</v>
      </c>
      <c r="N137">
        <v>0</v>
      </c>
      <c r="O137">
        <v>4</v>
      </c>
    </row>
    <row r="138" spans="1:15" x14ac:dyDescent="0.25">
      <c r="A138" t="s">
        <v>21</v>
      </c>
      <c r="B138">
        <v>2</v>
      </c>
      <c r="C138">
        <v>8</v>
      </c>
      <c r="D138">
        <v>26</v>
      </c>
      <c r="E138">
        <v>4</v>
      </c>
      <c r="F138">
        <v>364</v>
      </c>
      <c r="G138">
        <v>5000</v>
      </c>
      <c r="H138">
        <v>12.5</v>
      </c>
      <c r="I138">
        <v>5</v>
      </c>
      <c r="J138">
        <v>78</v>
      </c>
      <c r="K138">
        <v>2.5641025641025599</v>
      </c>
      <c r="L138">
        <v>7.5320512820512802</v>
      </c>
      <c r="M138">
        <v>4.3012820512820502</v>
      </c>
      <c r="N138">
        <v>0</v>
      </c>
      <c r="O138">
        <v>4</v>
      </c>
    </row>
    <row r="139" spans="1:15" x14ac:dyDescent="0.25">
      <c r="A139" t="s">
        <v>21</v>
      </c>
      <c r="B139">
        <v>2</v>
      </c>
      <c r="C139">
        <v>9</v>
      </c>
      <c r="D139">
        <v>75</v>
      </c>
      <c r="E139">
        <v>4</v>
      </c>
      <c r="F139">
        <v>2531</v>
      </c>
      <c r="G139">
        <v>5000</v>
      </c>
      <c r="H139">
        <v>12.5</v>
      </c>
      <c r="I139">
        <v>5</v>
      </c>
      <c r="J139">
        <v>78</v>
      </c>
      <c r="K139">
        <v>2.5641025641025599</v>
      </c>
      <c r="L139">
        <v>7.5320512820512802</v>
      </c>
      <c r="M139">
        <v>4.3012820512820502</v>
      </c>
      <c r="N139">
        <v>0</v>
      </c>
      <c r="O139">
        <v>4</v>
      </c>
    </row>
    <row r="140" spans="1:15" x14ac:dyDescent="0.25">
      <c r="A140" t="s">
        <v>21</v>
      </c>
      <c r="B140">
        <v>3</v>
      </c>
      <c r="C140">
        <v>1</v>
      </c>
      <c r="D140">
        <v>6</v>
      </c>
      <c r="E140">
        <v>39</v>
      </c>
      <c r="F140">
        <v>125</v>
      </c>
      <c r="G140">
        <v>5000</v>
      </c>
      <c r="H140">
        <v>12.5</v>
      </c>
      <c r="I140">
        <v>5</v>
      </c>
      <c r="J140">
        <v>78</v>
      </c>
      <c r="K140">
        <v>3.84615384615384</v>
      </c>
      <c r="L140">
        <v>8.1730769230769198</v>
      </c>
      <c r="M140">
        <v>42.1875</v>
      </c>
      <c r="N140">
        <v>0</v>
      </c>
      <c r="O140">
        <v>42</v>
      </c>
    </row>
    <row r="141" spans="1:15" x14ac:dyDescent="0.25">
      <c r="A141" t="s">
        <v>21</v>
      </c>
      <c r="B141">
        <v>3</v>
      </c>
      <c r="C141">
        <v>2</v>
      </c>
      <c r="D141">
        <v>10</v>
      </c>
      <c r="E141">
        <v>39</v>
      </c>
      <c r="F141">
        <v>182</v>
      </c>
      <c r="G141">
        <v>5000</v>
      </c>
      <c r="H141">
        <v>12.5</v>
      </c>
      <c r="I141">
        <v>5</v>
      </c>
      <c r="J141">
        <v>78</v>
      </c>
      <c r="K141">
        <v>3.84615384615384</v>
      </c>
      <c r="L141">
        <v>8.1730769230769198</v>
      </c>
      <c r="M141">
        <v>42.1875</v>
      </c>
      <c r="N141">
        <v>0.63749999999999996</v>
      </c>
      <c r="O141">
        <v>42</v>
      </c>
    </row>
    <row r="142" spans="1:15" x14ac:dyDescent="0.25">
      <c r="A142" t="s">
        <v>21</v>
      </c>
      <c r="B142">
        <v>3</v>
      </c>
      <c r="C142">
        <v>3</v>
      </c>
      <c r="D142">
        <v>11</v>
      </c>
      <c r="E142">
        <v>39</v>
      </c>
      <c r="F142">
        <v>224</v>
      </c>
      <c r="G142">
        <v>5000</v>
      </c>
      <c r="H142">
        <v>12.5</v>
      </c>
      <c r="I142">
        <v>5</v>
      </c>
      <c r="J142">
        <v>78</v>
      </c>
      <c r="K142">
        <v>3.84615384615384</v>
      </c>
      <c r="L142">
        <v>8.1730769230769198</v>
      </c>
      <c r="M142">
        <v>42.1875</v>
      </c>
      <c r="N142">
        <v>1.2749999999999999</v>
      </c>
      <c r="O142">
        <v>41</v>
      </c>
    </row>
    <row r="143" spans="1:15" x14ac:dyDescent="0.25">
      <c r="A143" t="s">
        <v>21</v>
      </c>
      <c r="B143">
        <v>4</v>
      </c>
      <c r="C143">
        <v>1</v>
      </c>
      <c r="D143">
        <v>7</v>
      </c>
      <c r="E143">
        <v>5</v>
      </c>
      <c r="F143">
        <v>167</v>
      </c>
      <c r="G143">
        <v>5000</v>
      </c>
      <c r="H143">
        <v>12.5</v>
      </c>
      <c r="I143">
        <v>5</v>
      </c>
      <c r="J143">
        <v>78</v>
      </c>
      <c r="K143">
        <v>5.1282051282051198</v>
      </c>
      <c r="L143">
        <v>8.8141025641025603</v>
      </c>
      <c r="M143">
        <v>5.4407051282051198</v>
      </c>
      <c r="N143">
        <v>0</v>
      </c>
      <c r="O143">
        <v>5</v>
      </c>
    </row>
    <row r="144" spans="1:15" x14ac:dyDescent="0.25">
      <c r="A144" t="s">
        <v>21</v>
      </c>
      <c r="B144">
        <v>4</v>
      </c>
      <c r="C144">
        <v>2</v>
      </c>
      <c r="D144">
        <v>8</v>
      </c>
      <c r="E144">
        <v>5</v>
      </c>
      <c r="F144">
        <v>172</v>
      </c>
      <c r="G144">
        <v>5000</v>
      </c>
      <c r="H144">
        <v>12.5</v>
      </c>
      <c r="I144">
        <v>5</v>
      </c>
      <c r="J144">
        <v>78</v>
      </c>
      <c r="K144">
        <v>5.1282051282051198</v>
      </c>
      <c r="L144">
        <v>8.8141025641025603</v>
      </c>
      <c r="M144">
        <v>5.4407051282051198</v>
      </c>
      <c r="N144">
        <v>8.8141025641025494E-2</v>
      </c>
      <c r="O144">
        <v>5</v>
      </c>
    </row>
    <row r="145" spans="1:15" x14ac:dyDescent="0.25">
      <c r="A145" t="s">
        <v>21</v>
      </c>
      <c r="B145">
        <v>4</v>
      </c>
      <c r="C145">
        <v>3</v>
      </c>
      <c r="D145">
        <v>9</v>
      </c>
      <c r="E145">
        <v>5</v>
      </c>
      <c r="F145">
        <v>177</v>
      </c>
      <c r="G145">
        <v>5000</v>
      </c>
      <c r="H145">
        <v>12.5</v>
      </c>
      <c r="I145">
        <v>5</v>
      </c>
      <c r="J145">
        <v>78</v>
      </c>
      <c r="K145">
        <v>5.1282051282051198</v>
      </c>
      <c r="L145">
        <v>8.8141025641025603</v>
      </c>
      <c r="M145">
        <v>5.4407051282051198</v>
      </c>
      <c r="N145">
        <v>0.17628205128205099</v>
      </c>
      <c r="O145">
        <v>5</v>
      </c>
    </row>
    <row r="146" spans="1:15" x14ac:dyDescent="0.25">
      <c r="A146" t="s">
        <v>21</v>
      </c>
      <c r="B146">
        <v>5</v>
      </c>
      <c r="C146">
        <v>1</v>
      </c>
      <c r="D146">
        <v>12</v>
      </c>
      <c r="E146">
        <v>2</v>
      </c>
      <c r="F146">
        <v>265</v>
      </c>
      <c r="G146">
        <v>5000</v>
      </c>
      <c r="H146">
        <v>12.5</v>
      </c>
      <c r="I146">
        <v>5</v>
      </c>
      <c r="J146">
        <v>78</v>
      </c>
      <c r="K146">
        <v>6.4102564102564097</v>
      </c>
      <c r="L146">
        <v>9.4551282051282008</v>
      </c>
      <c r="M146">
        <v>2.1891025641025599</v>
      </c>
      <c r="N146">
        <v>0</v>
      </c>
      <c r="O146">
        <v>2</v>
      </c>
    </row>
    <row r="147" spans="1:15" x14ac:dyDescent="0.25">
      <c r="A147" t="s">
        <v>21</v>
      </c>
      <c r="B147">
        <v>5</v>
      </c>
      <c r="C147">
        <v>2</v>
      </c>
      <c r="D147">
        <v>13</v>
      </c>
      <c r="E147">
        <v>2</v>
      </c>
      <c r="F147">
        <v>267</v>
      </c>
      <c r="G147">
        <v>5000</v>
      </c>
      <c r="H147">
        <v>12.5</v>
      </c>
      <c r="I147">
        <v>5</v>
      </c>
      <c r="J147">
        <v>78</v>
      </c>
      <c r="K147">
        <v>6.4102564102564097</v>
      </c>
      <c r="L147">
        <v>9.4551282051282008</v>
      </c>
      <c r="M147">
        <v>2.1891025641025599</v>
      </c>
      <c r="N147">
        <v>3.78205128205127E-2</v>
      </c>
      <c r="O147">
        <v>2</v>
      </c>
    </row>
    <row r="148" spans="1:15" x14ac:dyDescent="0.25">
      <c r="A148" t="s">
        <v>21</v>
      </c>
      <c r="B148">
        <v>5</v>
      </c>
      <c r="C148">
        <v>3</v>
      </c>
      <c r="D148">
        <v>14</v>
      </c>
      <c r="E148">
        <v>2</v>
      </c>
      <c r="F148">
        <v>269</v>
      </c>
      <c r="G148">
        <v>5000</v>
      </c>
      <c r="H148">
        <v>12.5</v>
      </c>
      <c r="I148">
        <v>5</v>
      </c>
      <c r="J148">
        <v>78</v>
      </c>
      <c r="K148">
        <v>6.4102564102564097</v>
      </c>
      <c r="L148">
        <v>9.4551282051282008</v>
      </c>
      <c r="M148">
        <v>2.1891025641025599</v>
      </c>
      <c r="N148">
        <v>7.5641025641025497E-2</v>
      </c>
      <c r="O148">
        <v>2</v>
      </c>
    </row>
    <row r="149" spans="1:15" x14ac:dyDescent="0.25">
      <c r="A149" t="s">
        <v>21</v>
      </c>
      <c r="B149">
        <v>5</v>
      </c>
      <c r="C149">
        <v>4</v>
      </c>
      <c r="D149">
        <v>21</v>
      </c>
      <c r="E149">
        <v>2</v>
      </c>
      <c r="F149">
        <v>301</v>
      </c>
      <c r="G149">
        <v>5000</v>
      </c>
      <c r="H149">
        <v>12.5</v>
      </c>
      <c r="I149">
        <v>5</v>
      </c>
      <c r="J149">
        <v>78</v>
      </c>
      <c r="K149">
        <v>6.4102564102564097</v>
      </c>
      <c r="L149">
        <v>9.4551282051282008</v>
      </c>
      <c r="M149">
        <v>2.1891025641025599</v>
      </c>
      <c r="N149">
        <v>0.113461538461538</v>
      </c>
      <c r="O149">
        <v>2</v>
      </c>
    </row>
    <row r="150" spans="1:15" x14ac:dyDescent="0.25">
      <c r="A150" t="s">
        <v>21</v>
      </c>
      <c r="B150">
        <v>5</v>
      </c>
      <c r="C150">
        <v>5</v>
      </c>
      <c r="D150">
        <v>27</v>
      </c>
      <c r="E150">
        <v>2</v>
      </c>
      <c r="F150">
        <v>368</v>
      </c>
      <c r="G150">
        <v>5000</v>
      </c>
      <c r="H150">
        <v>12.5</v>
      </c>
      <c r="I150">
        <v>5</v>
      </c>
      <c r="J150">
        <v>78</v>
      </c>
      <c r="K150">
        <v>6.4102564102564097</v>
      </c>
      <c r="L150">
        <v>9.4551282051282008</v>
      </c>
      <c r="M150">
        <v>2.1891025641025599</v>
      </c>
      <c r="N150">
        <v>0</v>
      </c>
      <c r="O150">
        <v>2</v>
      </c>
    </row>
    <row r="151" spans="1:15" x14ac:dyDescent="0.25">
      <c r="A151" t="s">
        <v>21</v>
      </c>
      <c r="B151">
        <v>5</v>
      </c>
      <c r="C151">
        <v>6</v>
      </c>
      <c r="D151">
        <v>76</v>
      </c>
      <c r="E151">
        <v>2</v>
      </c>
      <c r="F151">
        <v>2535</v>
      </c>
      <c r="G151">
        <v>5000</v>
      </c>
      <c r="H151">
        <v>12.5</v>
      </c>
      <c r="I151">
        <v>5</v>
      </c>
      <c r="J151">
        <v>78</v>
      </c>
      <c r="K151">
        <v>6.4102564102564097</v>
      </c>
      <c r="L151">
        <v>9.4551282051282008</v>
      </c>
      <c r="M151">
        <v>2.1891025641025599</v>
      </c>
      <c r="N151">
        <v>0</v>
      </c>
      <c r="O151">
        <v>2</v>
      </c>
    </row>
    <row r="152" spans="1:15" x14ac:dyDescent="0.25">
      <c r="A152" t="s">
        <v>21</v>
      </c>
      <c r="B152">
        <v>6</v>
      </c>
      <c r="C152">
        <v>1</v>
      </c>
      <c r="D152">
        <v>15</v>
      </c>
      <c r="E152">
        <v>5</v>
      </c>
      <c r="F152">
        <v>271</v>
      </c>
      <c r="G152">
        <v>5000</v>
      </c>
      <c r="H152">
        <v>12.5</v>
      </c>
      <c r="I152">
        <v>5</v>
      </c>
      <c r="J152">
        <v>78</v>
      </c>
      <c r="K152">
        <v>7.6923076923076898</v>
      </c>
      <c r="L152">
        <v>10.096153846153801</v>
      </c>
      <c r="M152">
        <v>5.5048076923076898</v>
      </c>
      <c r="N152">
        <v>0</v>
      </c>
      <c r="O152">
        <v>5</v>
      </c>
    </row>
    <row r="153" spans="1:15" x14ac:dyDescent="0.25">
      <c r="A153" t="s">
        <v>21</v>
      </c>
      <c r="B153">
        <v>6</v>
      </c>
      <c r="C153">
        <v>2</v>
      </c>
      <c r="D153">
        <v>16</v>
      </c>
      <c r="E153">
        <v>5</v>
      </c>
      <c r="F153">
        <v>276</v>
      </c>
      <c r="G153">
        <v>5000</v>
      </c>
      <c r="H153">
        <v>12.5</v>
      </c>
      <c r="I153">
        <v>5</v>
      </c>
      <c r="J153">
        <v>78</v>
      </c>
      <c r="K153">
        <v>7.6923076923076898</v>
      </c>
      <c r="L153">
        <v>10.096153846153801</v>
      </c>
      <c r="M153">
        <v>5.5048076923076898</v>
      </c>
      <c r="N153">
        <v>0.10096153846153801</v>
      </c>
      <c r="O153">
        <v>5</v>
      </c>
    </row>
    <row r="154" spans="1:15" x14ac:dyDescent="0.25">
      <c r="A154" t="s">
        <v>21</v>
      </c>
      <c r="B154">
        <v>6</v>
      </c>
      <c r="C154">
        <v>3</v>
      </c>
      <c r="D154">
        <v>17</v>
      </c>
      <c r="E154">
        <v>5</v>
      </c>
      <c r="F154">
        <v>281</v>
      </c>
      <c r="G154">
        <v>5000</v>
      </c>
      <c r="H154">
        <v>12.5</v>
      </c>
      <c r="I154">
        <v>5</v>
      </c>
      <c r="J154">
        <v>78</v>
      </c>
      <c r="K154">
        <v>7.6923076923076898</v>
      </c>
      <c r="L154">
        <v>10.096153846153801</v>
      </c>
      <c r="M154">
        <v>5.5048076923076898</v>
      </c>
      <c r="N154">
        <v>0.20192307692307701</v>
      </c>
      <c r="O154">
        <v>5</v>
      </c>
    </row>
    <row r="155" spans="1:15" x14ac:dyDescent="0.25">
      <c r="A155" t="s">
        <v>21</v>
      </c>
      <c r="B155">
        <v>6</v>
      </c>
      <c r="C155">
        <v>4</v>
      </c>
      <c r="D155">
        <v>18</v>
      </c>
      <c r="E155">
        <v>5</v>
      </c>
      <c r="F155">
        <v>286</v>
      </c>
      <c r="G155">
        <v>5000</v>
      </c>
      <c r="H155">
        <v>12.5</v>
      </c>
      <c r="I155">
        <v>5</v>
      </c>
      <c r="J155">
        <v>78</v>
      </c>
      <c r="K155">
        <v>7.6923076923076898</v>
      </c>
      <c r="L155">
        <v>10.096153846153801</v>
      </c>
      <c r="M155">
        <v>5.5048076923076898</v>
      </c>
      <c r="N155">
        <v>0.30288461538461497</v>
      </c>
      <c r="O155">
        <v>5</v>
      </c>
    </row>
    <row r="156" spans="1:15" x14ac:dyDescent="0.25">
      <c r="A156" t="s">
        <v>21</v>
      </c>
      <c r="B156">
        <v>6</v>
      </c>
      <c r="C156">
        <v>5</v>
      </c>
      <c r="D156">
        <v>19</v>
      </c>
      <c r="E156">
        <v>5</v>
      </c>
      <c r="F156">
        <v>291</v>
      </c>
      <c r="G156">
        <v>5000</v>
      </c>
      <c r="H156">
        <v>12.5</v>
      </c>
      <c r="I156">
        <v>5</v>
      </c>
      <c r="J156">
        <v>78</v>
      </c>
      <c r="K156">
        <v>7.6923076923076898</v>
      </c>
      <c r="L156">
        <v>10.096153846153801</v>
      </c>
      <c r="M156">
        <v>5.5048076923076898</v>
      </c>
      <c r="N156">
        <v>0</v>
      </c>
      <c r="O156">
        <v>5</v>
      </c>
    </row>
    <row r="157" spans="1:15" x14ac:dyDescent="0.25">
      <c r="A157" t="s">
        <v>21</v>
      </c>
      <c r="B157">
        <v>6</v>
      </c>
      <c r="C157">
        <v>6</v>
      </c>
      <c r="D157">
        <v>20</v>
      </c>
      <c r="E157">
        <v>5</v>
      </c>
      <c r="F157">
        <v>296</v>
      </c>
      <c r="G157">
        <v>5000</v>
      </c>
      <c r="H157">
        <v>12.5</v>
      </c>
      <c r="I157">
        <v>5</v>
      </c>
      <c r="J157">
        <v>78</v>
      </c>
      <c r="K157">
        <v>7.6923076923076898</v>
      </c>
      <c r="L157">
        <v>10.096153846153801</v>
      </c>
      <c r="M157">
        <v>5.5048076923076898</v>
      </c>
      <c r="N157">
        <v>0</v>
      </c>
      <c r="O157">
        <v>5</v>
      </c>
    </row>
    <row r="158" spans="1:15" x14ac:dyDescent="0.25">
      <c r="A158" t="s">
        <v>21</v>
      </c>
      <c r="B158">
        <v>6</v>
      </c>
      <c r="C158">
        <v>7</v>
      </c>
      <c r="D158">
        <v>31</v>
      </c>
      <c r="E158">
        <v>5</v>
      </c>
      <c r="F158">
        <v>451</v>
      </c>
      <c r="G158">
        <v>5000</v>
      </c>
      <c r="H158">
        <v>12.5</v>
      </c>
      <c r="I158">
        <v>5</v>
      </c>
      <c r="J158">
        <v>78</v>
      </c>
      <c r="K158">
        <v>7.6923076923076898</v>
      </c>
      <c r="L158">
        <v>10.096153846153801</v>
      </c>
      <c r="M158">
        <v>5.5048076923076898</v>
      </c>
      <c r="N158">
        <v>0</v>
      </c>
      <c r="O158">
        <v>5</v>
      </c>
    </row>
    <row r="159" spans="1:15" x14ac:dyDescent="0.25">
      <c r="A159" t="s">
        <v>21</v>
      </c>
      <c r="B159">
        <v>6</v>
      </c>
      <c r="C159">
        <v>8</v>
      </c>
      <c r="D159">
        <v>32</v>
      </c>
      <c r="E159">
        <v>5</v>
      </c>
      <c r="F159">
        <v>456</v>
      </c>
      <c r="G159">
        <v>5000</v>
      </c>
      <c r="H159">
        <v>12.5</v>
      </c>
      <c r="I159">
        <v>5</v>
      </c>
      <c r="J159">
        <v>78</v>
      </c>
      <c r="K159">
        <v>7.6923076923076898</v>
      </c>
      <c r="L159">
        <v>10.096153846153801</v>
      </c>
      <c r="M159">
        <v>5.5048076923076898</v>
      </c>
      <c r="N159">
        <v>0</v>
      </c>
      <c r="O159">
        <v>5</v>
      </c>
    </row>
    <row r="160" spans="1:15" x14ac:dyDescent="0.25">
      <c r="A160" t="s">
        <v>21</v>
      </c>
      <c r="B160">
        <v>6</v>
      </c>
      <c r="C160">
        <v>9</v>
      </c>
      <c r="D160">
        <v>33</v>
      </c>
      <c r="E160">
        <v>5</v>
      </c>
      <c r="F160">
        <v>461</v>
      </c>
      <c r="G160">
        <v>5000</v>
      </c>
      <c r="H160">
        <v>12.5</v>
      </c>
      <c r="I160">
        <v>5</v>
      </c>
      <c r="J160">
        <v>78</v>
      </c>
      <c r="K160">
        <v>7.6923076923076898</v>
      </c>
      <c r="L160">
        <v>10.096153846153801</v>
      </c>
      <c r="M160">
        <v>5.5048076923076898</v>
      </c>
      <c r="N160">
        <v>0</v>
      </c>
      <c r="O160">
        <v>5</v>
      </c>
    </row>
    <row r="161" spans="1:15" x14ac:dyDescent="0.25">
      <c r="A161" t="s">
        <v>21</v>
      </c>
      <c r="B161">
        <v>6</v>
      </c>
      <c r="C161">
        <v>10</v>
      </c>
      <c r="D161">
        <v>48</v>
      </c>
      <c r="E161">
        <v>5</v>
      </c>
      <c r="F161">
        <v>1175</v>
      </c>
      <c r="G161">
        <v>5000</v>
      </c>
      <c r="H161">
        <v>12.5</v>
      </c>
      <c r="I161">
        <v>5</v>
      </c>
      <c r="J161">
        <v>78</v>
      </c>
      <c r="K161">
        <v>7.6923076923076898</v>
      </c>
      <c r="L161">
        <v>10.096153846153801</v>
      </c>
      <c r="M161">
        <v>5.5048076923076898</v>
      </c>
      <c r="N161">
        <v>0</v>
      </c>
      <c r="O161">
        <v>5</v>
      </c>
    </row>
    <row r="162" spans="1:15" x14ac:dyDescent="0.25">
      <c r="A162" t="s">
        <v>21</v>
      </c>
      <c r="B162">
        <v>6</v>
      </c>
      <c r="C162">
        <v>11</v>
      </c>
      <c r="D162">
        <v>49</v>
      </c>
      <c r="E162">
        <v>5</v>
      </c>
      <c r="F162">
        <v>1180</v>
      </c>
      <c r="G162">
        <v>5000</v>
      </c>
      <c r="H162">
        <v>12.5</v>
      </c>
      <c r="I162">
        <v>5</v>
      </c>
      <c r="J162">
        <v>78</v>
      </c>
      <c r="K162">
        <v>7.6923076923076898</v>
      </c>
      <c r="L162">
        <v>10.096153846153801</v>
      </c>
      <c r="M162">
        <v>5.5048076923076898</v>
      </c>
      <c r="N162">
        <v>1.1512244897959101</v>
      </c>
      <c r="O162">
        <v>3</v>
      </c>
    </row>
    <row r="163" spans="1:15" x14ac:dyDescent="0.25">
      <c r="A163" t="s">
        <v>21</v>
      </c>
      <c r="B163">
        <v>6</v>
      </c>
      <c r="C163">
        <v>12</v>
      </c>
      <c r="D163">
        <v>56</v>
      </c>
      <c r="E163">
        <v>5</v>
      </c>
      <c r="F163">
        <v>1425</v>
      </c>
      <c r="G163">
        <v>5000</v>
      </c>
      <c r="H163">
        <v>12.5</v>
      </c>
      <c r="I163">
        <v>5</v>
      </c>
      <c r="J163">
        <v>78</v>
      </c>
      <c r="K163">
        <v>7.6923076923076898</v>
      </c>
      <c r="L163">
        <v>10.096153846153801</v>
      </c>
      <c r="M163">
        <v>5.5048076923076898</v>
      </c>
      <c r="N163">
        <v>1.2482142857142799</v>
      </c>
      <c r="O163">
        <v>3</v>
      </c>
    </row>
    <row r="164" spans="1:15" x14ac:dyDescent="0.25">
      <c r="A164" t="s">
        <v>21</v>
      </c>
      <c r="B164">
        <v>6</v>
      </c>
      <c r="C164">
        <v>13</v>
      </c>
      <c r="D164">
        <v>78</v>
      </c>
      <c r="E164">
        <v>5</v>
      </c>
      <c r="F164">
        <v>2678</v>
      </c>
      <c r="G164">
        <v>5000</v>
      </c>
      <c r="H164">
        <v>12.5</v>
      </c>
      <c r="I164">
        <v>5</v>
      </c>
      <c r="J164">
        <v>78</v>
      </c>
      <c r="K164">
        <v>7.6923076923076898</v>
      </c>
      <c r="L164">
        <v>10.096153846153801</v>
      </c>
      <c r="M164">
        <v>5.5048076923076898</v>
      </c>
      <c r="N164">
        <v>1.75566666666666</v>
      </c>
      <c r="O164">
        <v>3</v>
      </c>
    </row>
    <row r="165" spans="1:15" x14ac:dyDescent="0.25">
      <c r="A165" t="s">
        <v>21</v>
      </c>
      <c r="B165">
        <v>6</v>
      </c>
      <c r="C165">
        <v>14</v>
      </c>
      <c r="D165">
        <v>87</v>
      </c>
      <c r="E165">
        <v>5</v>
      </c>
      <c r="F165">
        <v>2885</v>
      </c>
      <c r="G165">
        <v>5000</v>
      </c>
      <c r="H165">
        <v>12.5</v>
      </c>
      <c r="I165">
        <v>5</v>
      </c>
      <c r="J165">
        <v>78</v>
      </c>
      <c r="K165">
        <v>7.6923076923076898</v>
      </c>
      <c r="L165">
        <v>10.096153846153801</v>
      </c>
      <c r="M165">
        <v>5.5048076923076898</v>
      </c>
      <c r="N165">
        <v>1.8447988505747099</v>
      </c>
      <c r="O165">
        <v>3</v>
      </c>
    </row>
    <row r="166" spans="1:15" x14ac:dyDescent="0.25">
      <c r="A166" t="s">
        <v>21</v>
      </c>
      <c r="B166">
        <v>7</v>
      </c>
      <c r="C166">
        <v>1</v>
      </c>
      <c r="D166">
        <v>22</v>
      </c>
      <c r="E166">
        <v>45</v>
      </c>
      <c r="F166">
        <v>303</v>
      </c>
      <c r="G166">
        <v>5000</v>
      </c>
      <c r="H166">
        <v>12.5</v>
      </c>
      <c r="I166">
        <v>5</v>
      </c>
      <c r="J166">
        <v>78</v>
      </c>
      <c r="K166">
        <v>8.9743589743589691</v>
      </c>
      <c r="L166">
        <v>10.7371794871794</v>
      </c>
      <c r="M166">
        <v>49.831730769230703</v>
      </c>
      <c r="N166">
        <v>0</v>
      </c>
      <c r="O166">
        <v>49</v>
      </c>
    </row>
    <row r="167" spans="1:15" x14ac:dyDescent="0.25">
      <c r="A167" t="s">
        <v>21</v>
      </c>
      <c r="B167">
        <v>7</v>
      </c>
      <c r="C167">
        <v>2</v>
      </c>
      <c r="D167">
        <v>38</v>
      </c>
      <c r="E167">
        <v>45</v>
      </c>
      <c r="F167">
        <v>637</v>
      </c>
      <c r="G167">
        <v>5000</v>
      </c>
      <c r="H167">
        <v>12.5</v>
      </c>
      <c r="I167">
        <v>5</v>
      </c>
      <c r="J167">
        <v>78</v>
      </c>
      <c r="K167">
        <v>8.9743589743589691</v>
      </c>
      <c r="L167">
        <v>10.7371794871794</v>
      </c>
      <c r="M167">
        <v>49.831730769230703</v>
      </c>
      <c r="N167">
        <v>0.96634615384615297</v>
      </c>
      <c r="O167">
        <v>49</v>
      </c>
    </row>
    <row r="168" spans="1:15" x14ac:dyDescent="0.25">
      <c r="A168" t="s">
        <v>21</v>
      </c>
      <c r="B168">
        <v>7</v>
      </c>
      <c r="C168">
        <v>3</v>
      </c>
      <c r="D168">
        <v>40</v>
      </c>
      <c r="E168">
        <v>45</v>
      </c>
      <c r="F168">
        <v>724</v>
      </c>
      <c r="G168">
        <v>5000</v>
      </c>
      <c r="H168">
        <v>12.5</v>
      </c>
      <c r="I168">
        <v>5</v>
      </c>
      <c r="J168">
        <v>78</v>
      </c>
      <c r="K168">
        <v>8.9743589743589691</v>
      </c>
      <c r="L168">
        <v>10.7371794871794</v>
      </c>
      <c r="M168">
        <v>49.831730769230703</v>
      </c>
      <c r="N168">
        <v>1.9326923076922999</v>
      </c>
      <c r="O168">
        <v>48</v>
      </c>
    </row>
    <row r="169" spans="1:15" x14ac:dyDescent="0.25">
      <c r="A169" t="s">
        <v>21</v>
      </c>
      <c r="B169">
        <v>7</v>
      </c>
      <c r="C169">
        <v>4</v>
      </c>
      <c r="D169">
        <v>43</v>
      </c>
      <c r="E169">
        <v>45</v>
      </c>
      <c r="F169">
        <v>919</v>
      </c>
      <c r="G169">
        <v>5000</v>
      </c>
      <c r="H169">
        <v>12.5</v>
      </c>
      <c r="I169">
        <v>5</v>
      </c>
      <c r="J169">
        <v>78</v>
      </c>
      <c r="K169">
        <v>8.9743589743589691</v>
      </c>
      <c r="L169">
        <v>10.7371794871794</v>
      </c>
      <c r="M169">
        <v>49.831730769230703</v>
      </c>
      <c r="N169">
        <v>2.8990384615384599</v>
      </c>
      <c r="O169">
        <v>47</v>
      </c>
    </row>
    <row r="170" spans="1:15" x14ac:dyDescent="0.25">
      <c r="A170" t="s">
        <v>21</v>
      </c>
      <c r="B170">
        <v>7</v>
      </c>
      <c r="C170">
        <v>5</v>
      </c>
      <c r="D170">
        <v>47</v>
      </c>
      <c r="E170">
        <v>45</v>
      </c>
      <c r="F170">
        <v>1130</v>
      </c>
      <c r="G170">
        <v>5000</v>
      </c>
      <c r="H170">
        <v>12.5</v>
      </c>
      <c r="I170">
        <v>5</v>
      </c>
      <c r="J170">
        <v>78</v>
      </c>
      <c r="K170">
        <v>8.9743589743589691</v>
      </c>
      <c r="L170">
        <v>10.7371794871794</v>
      </c>
      <c r="M170">
        <v>49.831730769230703</v>
      </c>
      <c r="N170">
        <v>0</v>
      </c>
      <c r="O170">
        <v>45</v>
      </c>
    </row>
    <row r="171" spans="1:15" x14ac:dyDescent="0.25">
      <c r="A171" t="s">
        <v>21</v>
      </c>
      <c r="B171">
        <v>7</v>
      </c>
      <c r="C171">
        <v>6</v>
      </c>
      <c r="D171">
        <v>54</v>
      </c>
      <c r="E171">
        <v>45</v>
      </c>
      <c r="F171">
        <v>1337</v>
      </c>
      <c r="G171">
        <v>5000</v>
      </c>
      <c r="H171">
        <v>12.5</v>
      </c>
      <c r="I171">
        <v>5</v>
      </c>
      <c r="J171">
        <v>78</v>
      </c>
      <c r="K171">
        <v>8.9743589743589691</v>
      </c>
      <c r="L171">
        <v>10.7371794871794</v>
      </c>
      <c r="M171">
        <v>49.831730769230703</v>
      </c>
      <c r="N171">
        <v>0</v>
      </c>
      <c r="O171">
        <v>45</v>
      </c>
    </row>
    <row r="172" spans="1:15" x14ac:dyDescent="0.25">
      <c r="A172" t="s">
        <v>21</v>
      </c>
      <c r="B172">
        <v>7</v>
      </c>
      <c r="C172">
        <v>7</v>
      </c>
      <c r="D172">
        <v>57</v>
      </c>
      <c r="E172">
        <v>45</v>
      </c>
      <c r="F172">
        <v>1428</v>
      </c>
      <c r="G172">
        <v>5000</v>
      </c>
      <c r="H172">
        <v>12.5</v>
      </c>
      <c r="I172">
        <v>5</v>
      </c>
      <c r="J172">
        <v>78</v>
      </c>
      <c r="K172">
        <v>8.9743589743589691</v>
      </c>
      <c r="L172">
        <v>10.7371794871794</v>
      </c>
      <c r="M172">
        <v>49.831730769230703</v>
      </c>
      <c r="N172">
        <v>0</v>
      </c>
      <c r="O172">
        <v>45</v>
      </c>
    </row>
    <row r="173" spans="1:15" x14ac:dyDescent="0.25">
      <c r="A173" t="s">
        <v>21</v>
      </c>
      <c r="B173">
        <v>7</v>
      </c>
      <c r="C173">
        <v>8</v>
      </c>
      <c r="D173">
        <v>68</v>
      </c>
      <c r="E173">
        <v>45</v>
      </c>
      <c r="F173">
        <v>2165</v>
      </c>
      <c r="G173">
        <v>5000</v>
      </c>
      <c r="H173">
        <v>12.5</v>
      </c>
      <c r="I173">
        <v>5</v>
      </c>
      <c r="J173">
        <v>78</v>
      </c>
      <c r="K173">
        <v>8.9743589743589691</v>
      </c>
      <c r="L173">
        <v>10.7371794871794</v>
      </c>
      <c r="M173">
        <v>49.831730769230703</v>
      </c>
      <c r="N173">
        <v>0</v>
      </c>
      <c r="O173">
        <v>45</v>
      </c>
    </row>
    <row r="174" spans="1:15" x14ac:dyDescent="0.25">
      <c r="A174" t="s">
        <v>21</v>
      </c>
      <c r="B174">
        <v>7</v>
      </c>
      <c r="C174">
        <v>9</v>
      </c>
      <c r="D174">
        <v>71</v>
      </c>
      <c r="E174">
        <v>45</v>
      </c>
      <c r="F174">
        <v>2273</v>
      </c>
      <c r="G174">
        <v>5000</v>
      </c>
      <c r="H174">
        <v>12.5</v>
      </c>
      <c r="I174">
        <v>5</v>
      </c>
      <c r="J174">
        <v>78</v>
      </c>
      <c r="K174">
        <v>8.9743589743589691</v>
      </c>
      <c r="L174">
        <v>10.7371794871794</v>
      </c>
      <c r="M174">
        <v>49.831730769230703</v>
      </c>
      <c r="N174">
        <v>0</v>
      </c>
      <c r="O174">
        <v>45</v>
      </c>
    </row>
    <row r="175" spans="1:15" x14ac:dyDescent="0.25">
      <c r="A175" t="s">
        <v>21</v>
      </c>
      <c r="B175">
        <v>7</v>
      </c>
      <c r="C175">
        <v>10</v>
      </c>
      <c r="D175">
        <v>73</v>
      </c>
      <c r="E175">
        <v>45</v>
      </c>
      <c r="F175">
        <v>2346</v>
      </c>
      <c r="G175">
        <v>5000</v>
      </c>
      <c r="H175">
        <v>12.5</v>
      </c>
      <c r="I175">
        <v>5</v>
      </c>
      <c r="J175">
        <v>78</v>
      </c>
      <c r="K175">
        <v>8.9743589743589691</v>
      </c>
      <c r="L175">
        <v>10.7371794871794</v>
      </c>
      <c r="M175">
        <v>49.831730769230703</v>
      </c>
      <c r="N175">
        <v>0</v>
      </c>
      <c r="O175">
        <v>45</v>
      </c>
    </row>
    <row r="176" spans="1:15" x14ac:dyDescent="0.25">
      <c r="A176" t="s">
        <v>21</v>
      </c>
      <c r="B176">
        <v>8</v>
      </c>
      <c r="C176">
        <v>1</v>
      </c>
      <c r="D176">
        <v>28</v>
      </c>
      <c r="E176">
        <v>10</v>
      </c>
      <c r="F176">
        <v>434</v>
      </c>
      <c r="G176">
        <v>5000</v>
      </c>
      <c r="H176">
        <v>12.5</v>
      </c>
      <c r="I176">
        <v>5</v>
      </c>
      <c r="J176">
        <v>78</v>
      </c>
      <c r="K176">
        <v>10.2564102564102</v>
      </c>
      <c r="L176">
        <v>11.378205128205099</v>
      </c>
      <c r="M176">
        <v>11.1378205128205</v>
      </c>
      <c r="N176">
        <v>0</v>
      </c>
      <c r="O176">
        <v>11</v>
      </c>
    </row>
    <row r="177" spans="1:15" x14ac:dyDescent="0.25">
      <c r="A177" t="s">
        <v>21</v>
      </c>
      <c r="B177">
        <v>9</v>
      </c>
      <c r="C177">
        <v>1</v>
      </c>
      <c r="D177">
        <v>29</v>
      </c>
      <c r="E177">
        <v>3</v>
      </c>
      <c r="F177">
        <v>445</v>
      </c>
      <c r="G177">
        <v>5000</v>
      </c>
      <c r="H177">
        <v>12.5</v>
      </c>
      <c r="I177">
        <v>5</v>
      </c>
      <c r="J177">
        <v>78</v>
      </c>
      <c r="K177">
        <v>11.538461538461499</v>
      </c>
      <c r="L177">
        <v>12.019230769230701</v>
      </c>
      <c r="M177">
        <v>3.3605769230769198</v>
      </c>
      <c r="N177">
        <v>0</v>
      </c>
      <c r="O177">
        <v>3</v>
      </c>
    </row>
    <row r="178" spans="1:15" x14ac:dyDescent="0.25">
      <c r="A178" t="s">
        <v>21</v>
      </c>
      <c r="B178">
        <v>9</v>
      </c>
      <c r="C178">
        <v>2</v>
      </c>
      <c r="D178">
        <v>30</v>
      </c>
      <c r="E178">
        <v>3</v>
      </c>
      <c r="F178">
        <v>448</v>
      </c>
      <c r="G178">
        <v>5000</v>
      </c>
      <c r="H178">
        <v>12.5</v>
      </c>
      <c r="I178">
        <v>5</v>
      </c>
      <c r="J178">
        <v>78</v>
      </c>
      <c r="K178">
        <v>11.538461538461499</v>
      </c>
      <c r="L178">
        <v>12.019230769230701</v>
      </c>
      <c r="M178">
        <v>3.3605769230769198</v>
      </c>
      <c r="N178">
        <v>7.2115384615384498E-2</v>
      </c>
      <c r="O178">
        <v>3</v>
      </c>
    </row>
    <row r="179" spans="1:15" x14ac:dyDescent="0.25">
      <c r="A179" t="s">
        <v>21</v>
      </c>
      <c r="B179">
        <v>10</v>
      </c>
      <c r="C179">
        <v>1</v>
      </c>
      <c r="D179">
        <v>37</v>
      </c>
      <c r="E179">
        <v>34</v>
      </c>
      <c r="F179">
        <v>599</v>
      </c>
      <c r="G179">
        <v>5000</v>
      </c>
      <c r="H179">
        <v>12.5</v>
      </c>
      <c r="I179">
        <v>5</v>
      </c>
      <c r="J179">
        <v>78</v>
      </c>
      <c r="K179">
        <v>12.8205128205128</v>
      </c>
      <c r="L179">
        <v>12.6602564102564</v>
      </c>
      <c r="M179">
        <v>38.304487179487097</v>
      </c>
      <c r="N179">
        <v>0</v>
      </c>
      <c r="O179">
        <v>38</v>
      </c>
    </row>
    <row r="180" spans="1:15" x14ac:dyDescent="0.25">
      <c r="A180" t="s">
        <v>21</v>
      </c>
      <c r="B180">
        <v>10</v>
      </c>
      <c r="C180">
        <v>2</v>
      </c>
      <c r="D180">
        <v>39</v>
      </c>
      <c r="E180">
        <v>34</v>
      </c>
      <c r="F180">
        <v>686</v>
      </c>
      <c r="G180">
        <v>5000</v>
      </c>
      <c r="H180">
        <v>12.5</v>
      </c>
      <c r="I180">
        <v>5</v>
      </c>
      <c r="J180">
        <v>78</v>
      </c>
      <c r="K180">
        <v>12.8205128205128</v>
      </c>
      <c r="L180">
        <v>12.6602564102564</v>
      </c>
      <c r="M180">
        <v>38.304487179487097</v>
      </c>
      <c r="N180">
        <v>0.86089743589743595</v>
      </c>
      <c r="O180">
        <v>38</v>
      </c>
    </row>
    <row r="181" spans="1:15" x14ac:dyDescent="0.25">
      <c r="A181" t="s">
        <v>21</v>
      </c>
      <c r="B181">
        <v>10</v>
      </c>
      <c r="C181">
        <v>3</v>
      </c>
      <c r="D181">
        <v>41</v>
      </c>
      <c r="E181">
        <v>34</v>
      </c>
      <c r="F181">
        <v>839</v>
      </c>
      <c r="G181">
        <v>5000</v>
      </c>
      <c r="H181">
        <v>12.5</v>
      </c>
      <c r="I181">
        <v>5</v>
      </c>
      <c r="J181">
        <v>78</v>
      </c>
      <c r="K181">
        <v>12.8205128205128</v>
      </c>
      <c r="L181">
        <v>12.6602564102564</v>
      </c>
      <c r="M181">
        <v>38.304487179487097</v>
      </c>
      <c r="N181">
        <v>1.7217948717948699</v>
      </c>
      <c r="O181">
        <v>37</v>
      </c>
    </row>
    <row r="182" spans="1:15" x14ac:dyDescent="0.25">
      <c r="A182" t="s">
        <v>21</v>
      </c>
      <c r="B182">
        <v>10</v>
      </c>
      <c r="C182">
        <v>4</v>
      </c>
      <c r="D182">
        <v>44</v>
      </c>
      <c r="E182">
        <v>34</v>
      </c>
      <c r="F182">
        <v>966</v>
      </c>
      <c r="G182">
        <v>5000</v>
      </c>
      <c r="H182">
        <v>12.5</v>
      </c>
      <c r="I182">
        <v>5</v>
      </c>
      <c r="J182">
        <v>78</v>
      </c>
      <c r="K182">
        <v>12.8205128205128</v>
      </c>
      <c r="L182">
        <v>12.6602564102564</v>
      </c>
      <c r="M182">
        <v>38.304487179487097</v>
      </c>
      <c r="N182">
        <v>2.5826923076922998</v>
      </c>
      <c r="O182">
        <v>36</v>
      </c>
    </row>
    <row r="183" spans="1:15" x14ac:dyDescent="0.25">
      <c r="A183" t="s">
        <v>21</v>
      </c>
      <c r="B183">
        <v>10</v>
      </c>
      <c r="C183">
        <v>5</v>
      </c>
      <c r="D183">
        <v>45</v>
      </c>
      <c r="E183">
        <v>34</v>
      </c>
      <c r="F183">
        <v>1002</v>
      </c>
      <c r="G183">
        <v>5000</v>
      </c>
      <c r="H183">
        <v>12.5</v>
      </c>
      <c r="I183">
        <v>5</v>
      </c>
      <c r="J183">
        <v>78</v>
      </c>
      <c r="K183">
        <v>12.8205128205128</v>
      </c>
      <c r="L183">
        <v>12.6602564102564</v>
      </c>
      <c r="M183">
        <v>38.304487179487097</v>
      </c>
      <c r="N183">
        <v>0</v>
      </c>
      <c r="O183">
        <v>34</v>
      </c>
    </row>
    <row r="184" spans="1:15" x14ac:dyDescent="0.25">
      <c r="A184" t="s">
        <v>21</v>
      </c>
      <c r="B184">
        <v>10</v>
      </c>
      <c r="C184">
        <v>6</v>
      </c>
      <c r="D184">
        <v>50</v>
      </c>
      <c r="E184">
        <v>34</v>
      </c>
      <c r="F184">
        <v>1183</v>
      </c>
      <c r="G184">
        <v>5000</v>
      </c>
      <c r="H184">
        <v>12.5</v>
      </c>
      <c r="I184">
        <v>5</v>
      </c>
      <c r="J184">
        <v>78</v>
      </c>
      <c r="K184">
        <v>12.8205128205128</v>
      </c>
      <c r="L184">
        <v>12.6602564102564</v>
      </c>
      <c r="M184">
        <v>38.304487179487097</v>
      </c>
      <c r="N184">
        <v>0</v>
      </c>
      <c r="O184">
        <v>34</v>
      </c>
    </row>
    <row r="185" spans="1:15" x14ac:dyDescent="0.25">
      <c r="A185" t="s">
        <v>21</v>
      </c>
      <c r="B185">
        <v>10</v>
      </c>
      <c r="C185">
        <v>7</v>
      </c>
      <c r="D185">
        <v>51</v>
      </c>
      <c r="E185">
        <v>34</v>
      </c>
      <c r="F185">
        <v>1217</v>
      </c>
      <c r="G185">
        <v>5000</v>
      </c>
      <c r="H185">
        <v>12.5</v>
      </c>
      <c r="I185">
        <v>5</v>
      </c>
      <c r="J185">
        <v>78</v>
      </c>
      <c r="K185">
        <v>12.8205128205128</v>
      </c>
      <c r="L185">
        <v>12.6602564102564</v>
      </c>
      <c r="M185">
        <v>38.304487179487097</v>
      </c>
      <c r="N185">
        <v>0</v>
      </c>
      <c r="O185">
        <v>34</v>
      </c>
    </row>
    <row r="186" spans="1:15" x14ac:dyDescent="0.25">
      <c r="A186" t="s">
        <v>21</v>
      </c>
      <c r="B186">
        <v>10</v>
      </c>
      <c r="C186">
        <v>8</v>
      </c>
      <c r="D186">
        <v>60</v>
      </c>
      <c r="E186">
        <v>34</v>
      </c>
      <c r="F186">
        <v>1559</v>
      </c>
      <c r="G186">
        <v>5000</v>
      </c>
      <c r="H186">
        <v>12.5</v>
      </c>
      <c r="I186">
        <v>5</v>
      </c>
      <c r="J186">
        <v>78</v>
      </c>
      <c r="K186">
        <v>12.8205128205128</v>
      </c>
      <c r="L186">
        <v>12.6602564102564</v>
      </c>
      <c r="M186">
        <v>38.304487179487097</v>
      </c>
      <c r="N186">
        <v>0</v>
      </c>
      <c r="O186">
        <v>34</v>
      </c>
    </row>
    <row r="187" spans="1:15" x14ac:dyDescent="0.25">
      <c r="A187" t="s">
        <v>21</v>
      </c>
      <c r="B187">
        <v>10</v>
      </c>
      <c r="C187">
        <v>9</v>
      </c>
      <c r="D187">
        <v>70</v>
      </c>
      <c r="E187">
        <v>34</v>
      </c>
      <c r="F187">
        <v>2239</v>
      </c>
      <c r="G187">
        <v>5000</v>
      </c>
      <c r="H187">
        <v>12.5</v>
      </c>
      <c r="I187">
        <v>5</v>
      </c>
      <c r="J187">
        <v>78</v>
      </c>
      <c r="K187">
        <v>12.8205128205128</v>
      </c>
      <c r="L187">
        <v>12.6602564102564</v>
      </c>
      <c r="M187">
        <v>38.304487179487097</v>
      </c>
      <c r="N187">
        <v>0</v>
      </c>
      <c r="O187">
        <v>34</v>
      </c>
    </row>
    <row r="188" spans="1:15" x14ac:dyDescent="0.25">
      <c r="A188" t="s">
        <v>21</v>
      </c>
      <c r="B188">
        <v>11</v>
      </c>
      <c r="C188">
        <v>1</v>
      </c>
      <c r="D188">
        <v>46</v>
      </c>
      <c r="E188">
        <v>83</v>
      </c>
      <c r="F188">
        <v>1036</v>
      </c>
      <c r="G188">
        <v>5000</v>
      </c>
      <c r="H188">
        <v>12.5</v>
      </c>
      <c r="I188">
        <v>5</v>
      </c>
      <c r="J188">
        <v>78</v>
      </c>
      <c r="K188">
        <v>14.1025641025641</v>
      </c>
      <c r="L188">
        <v>13.301282051282</v>
      </c>
      <c r="M188">
        <v>94.040064102564102</v>
      </c>
      <c r="N188">
        <v>0</v>
      </c>
      <c r="O188">
        <v>94</v>
      </c>
    </row>
    <row r="189" spans="1:15" x14ac:dyDescent="0.25">
      <c r="A189" t="s">
        <v>21</v>
      </c>
      <c r="B189">
        <v>11</v>
      </c>
      <c r="C189">
        <v>2</v>
      </c>
      <c r="D189">
        <v>61</v>
      </c>
      <c r="E189">
        <v>83</v>
      </c>
      <c r="F189">
        <v>1593</v>
      </c>
      <c r="G189">
        <v>5000</v>
      </c>
      <c r="H189">
        <v>12.5</v>
      </c>
      <c r="I189">
        <v>5</v>
      </c>
      <c r="J189">
        <v>78</v>
      </c>
      <c r="K189">
        <v>14.1025641025641</v>
      </c>
      <c r="L189">
        <v>13.301282051282</v>
      </c>
      <c r="M189">
        <v>94.040064102564102</v>
      </c>
      <c r="N189">
        <v>2.20801282051282</v>
      </c>
      <c r="O189">
        <v>92</v>
      </c>
    </row>
    <row r="190" spans="1:15" x14ac:dyDescent="0.25">
      <c r="A190" t="s">
        <v>21</v>
      </c>
      <c r="B190">
        <v>11</v>
      </c>
      <c r="C190">
        <v>3</v>
      </c>
      <c r="D190">
        <v>62</v>
      </c>
      <c r="E190">
        <v>83</v>
      </c>
      <c r="F190">
        <v>1685</v>
      </c>
      <c r="G190">
        <v>5000</v>
      </c>
      <c r="H190">
        <v>12.5</v>
      </c>
      <c r="I190">
        <v>5</v>
      </c>
      <c r="J190">
        <v>78</v>
      </c>
      <c r="K190">
        <v>14.1025641025641</v>
      </c>
      <c r="L190">
        <v>13.301282051282</v>
      </c>
      <c r="M190">
        <v>94.040064102564102</v>
      </c>
      <c r="N190">
        <v>4.41602564102564</v>
      </c>
      <c r="O190">
        <v>90</v>
      </c>
    </row>
    <row r="191" spans="1:15" x14ac:dyDescent="0.25">
      <c r="A191" t="s">
        <v>21</v>
      </c>
      <c r="B191">
        <v>11</v>
      </c>
      <c r="C191">
        <v>4</v>
      </c>
      <c r="D191">
        <v>63</v>
      </c>
      <c r="E191">
        <v>83</v>
      </c>
      <c r="F191">
        <v>1775</v>
      </c>
      <c r="G191">
        <v>5000</v>
      </c>
      <c r="H191">
        <v>12.5</v>
      </c>
      <c r="I191">
        <v>5</v>
      </c>
      <c r="J191">
        <v>78</v>
      </c>
      <c r="K191">
        <v>14.1025641025641</v>
      </c>
      <c r="L191">
        <v>13.301282051282</v>
      </c>
      <c r="M191">
        <v>94.040064102564102</v>
      </c>
      <c r="N191">
        <v>6.6240384615384604</v>
      </c>
      <c r="O191">
        <v>88</v>
      </c>
    </row>
    <row r="192" spans="1:15" x14ac:dyDescent="0.25">
      <c r="A192" t="s">
        <v>21</v>
      </c>
      <c r="B192">
        <v>12</v>
      </c>
      <c r="C192">
        <v>1</v>
      </c>
      <c r="D192">
        <v>67</v>
      </c>
      <c r="E192">
        <v>127</v>
      </c>
      <c r="F192">
        <v>2021</v>
      </c>
      <c r="G192">
        <v>5000</v>
      </c>
      <c r="H192">
        <v>12.5</v>
      </c>
      <c r="I192">
        <v>5</v>
      </c>
      <c r="J192">
        <v>78</v>
      </c>
      <c r="K192">
        <v>15.3846153846153</v>
      </c>
      <c r="L192">
        <v>13.942307692307599</v>
      </c>
      <c r="M192">
        <v>144.70673076923001</v>
      </c>
      <c r="N192">
        <v>0</v>
      </c>
      <c r="O192">
        <v>144</v>
      </c>
    </row>
    <row r="193" spans="1:15" x14ac:dyDescent="0.25">
      <c r="A193" t="s">
        <v>21</v>
      </c>
      <c r="B193">
        <v>12</v>
      </c>
      <c r="C193">
        <v>2</v>
      </c>
      <c r="D193">
        <v>77</v>
      </c>
      <c r="E193">
        <v>127</v>
      </c>
      <c r="F193">
        <v>2537</v>
      </c>
      <c r="G193">
        <v>5000</v>
      </c>
      <c r="H193">
        <v>12.5</v>
      </c>
      <c r="I193">
        <v>5</v>
      </c>
      <c r="J193">
        <v>78</v>
      </c>
      <c r="K193">
        <v>15.3846153846153</v>
      </c>
      <c r="L193">
        <v>13.942307692307599</v>
      </c>
      <c r="M193">
        <v>144.70673076923001</v>
      </c>
      <c r="N193">
        <v>3.5413461538461499</v>
      </c>
      <c r="O193">
        <v>141</v>
      </c>
    </row>
    <row r="194" spans="1:15" x14ac:dyDescent="0.25">
      <c r="A194" t="s">
        <v>21</v>
      </c>
      <c r="B194">
        <v>13</v>
      </c>
      <c r="C194">
        <v>1</v>
      </c>
      <c r="D194">
        <v>74</v>
      </c>
      <c r="E194">
        <v>123</v>
      </c>
      <c r="F194">
        <v>2391</v>
      </c>
      <c r="G194">
        <v>5000</v>
      </c>
      <c r="H194">
        <v>12.5</v>
      </c>
      <c r="I194">
        <v>5</v>
      </c>
      <c r="J194">
        <v>78</v>
      </c>
      <c r="K194">
        <v>16.6666666666666</v>
      </c>
      <c r="L194">
        <v>14.5833333333333</v>
      </c>
      <c r="M194">
        <v>140.9375</v>
      </c>
      <c r="N194">
        <v>0</v>
      </c>
      <c r="O194">
        <v>140</v>
      </c>
    </row>
    <row r="195" spans="1:15" x14ac:dyDescent="0.25">
      <c r="A195" t="s">
        <v>21</v>
      </c>
      <c r="B195">
        <v>14</v>
      </c>
      <c r="C195">
        <v>1</v>
      </c>
      <c r="D195">
        <v>88</v>
      </c>
      <c r="E195">
        <v>52</v>
      </c>
      <c r="F195">
        <v>2888</v>
      </c>
      <c r="G195">
        <v>5000</v>
      </c>
      <c r="H195">
        <v>12.5</v>
      </c>
      <c r="I195">
        <v>5</v>
      </c>
      <c r="J195">
        <v>78</v>
      </c>
      <c r="K195">
        <v>17.948717948717899</v>
      </c>
      <c r="L195">
        <v>15.2243589743589</v>
      </c>
      <c r="M195">
        <v>59.9166666666666</v>
      </c>
      <c r="N195">
        <v>0</v>
      </c>
      <c r="O195">
        <v>59</v>
      </c>
    </row>
    <row r="196" spans="1:15" x14ac:dyDescent="0.25">
      <c r="A196" t="s">
        <v>21</v>
      </c>
      <c r="B196">
        <v>14</v>
      </c>
      <c r="C196">
        <v>2</v>
      </c>
      <c r="D196">
        <v>89</v>
      </c>
      <c r="E196">
        <v>52</v>
      </c>
      <c r="F196">
        <v>2947</v>
      </c>
      <c r="G196">
        <v>5000</v>
      </c>
      <c r="H196">
        <v>12.5</v>
      </c>
      <c r="I196">
        <v>5</v>
      </c>
      <c r="J196">
        <v>78</v>
      </c>
      <c r="K196">
        <v>17.948717948717899</v>
      </c>
      <c r="L196">
        <v>15.2243589743589</v>
      </c>
      <c r="M196">
        <v>59.9166666666666</v>
      </c>
      <c r="N196">
        <v>1.5833333333333299</v>
      </c>
      <c r="O196">
        <v>58</v>
      </c>
    </row>
    <row r="197" spans="1:15" x14ac:dyDescent="0.25">
      <c r="A197" t="s">
        <v>21</v>
      </c>
      <c r="B197">
        <v>14</v>
      </c>
      <c r="C197">
        <v>3</v>
      </c>
      <c r="D197">
        <v>90</v>
      </c>
      <c r="E197">
        <v>52</v>
      </c>
      <c r="F197">
        <v>3005</v>
      </c>
      <c r="G197">
        <v>5000</v>
      </c>
      <c r="H197">
        <v>12.5</v>
      </c>
      <c r="I197">
        <v>5</v>
      </c>
      <c r="J197">
        <v>78</v>
      </c>
      <c r="K197">
        <v>17.948717948717899</v>
      </c>
      <c r="L197">
        <v>15.2243589743589</v>
      </c>
      <c r="M197">
        <v>59.9166666666666</v>
      </c>
      <c r="N197">
        <v>3.1666666666666599</v>
      </c>
      <c r="O197">
        <v>56</v>
      </c>
    </row>
  </sheetData>
  <autoFilter ref="A1:O197" xr:uid="{9CD6BCBF-E0F3-4A72-9234-FFADBF8F58AE}">
    <sortState xmlns:xlrd2="http://schemas.microsoft.com/office/spreadsheetml/2017/richdata2" ref="A2:O197">
      <sortCondition ref="A1:A1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Test 1</vt:lpstr>
      <vt:lpstr>Test 2</vt:lpstr>
      <vt:lpstr>Test 3</vt:lpstr>
      <vt:lpstr>Test 4</vt:lpstr>
      <vt:lpstr>Test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ducret</dc:creator>
  <cp:lastModifiedBy>thomas ducret</cp:lastModifiedBy>
  <dcterms:created xsi:type="dcterms:W3CDTF">2025-04-03T21:15:24Z</dcterms:created>
  <dcterms:modified xsi:type="dcterms:W3CDTF">2025-04-10T08:51:43Z</dcterms:modified>
</cp:coreProperties>
</file>