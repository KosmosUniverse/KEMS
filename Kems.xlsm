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Java\workspace_IntelliJ\KEMS\"/>
    </mc:Choice>
  </mc:AlternateContent>
  <xr:revisionPtr revIDLastSave="0" documentId="13_ncr:1_{0ADBBEC3-36E7-49E8-BEFE-9F6613ACCC8E}" xr6:coauthVersionLast="47" xr6:coauthVersionMax="47" xr10:uidLastSave="{00000000-0000-0000-0000-000000000000}"/>
  <bookViews>
    <workbookView xWindow="28680" yWindow="-120" windowWidth="29040" windowHeight="15720" xr2:uid="{E0F34660-1FA8-42C3-9F71-5D4982DBF7A0}"/>
  </bookViews>
  <sheets>
    <sheet name="Datas" sheetId="1" r:id="rId1"/>
    <sheet name="Feuil1" sheetId="4" r:id="rId2"/>
    <sheet name="Graph" sheetId="3" r:id="rId3"/>
    <sheet name="Resources" sheetId="2" r:id="rId4"/>
  </sheets>
  <definedNames>
    <definedName name="_xlnm._FilterDatabase" localSheetId="0" hidden="1">Datas!$A$1:$X$106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I4" i="1" s="1"/>
  <c r="E4" i="1"/>
  <c r="E106" i="1"/>
  <c r="H106" i="1"/>
  <c r="H105" i="1"/>
  <c r="E105" i="1"/>
  <c r="H70" i="1"/>
  <c r="E70" i="1"/>
  <c r="I70" i="1" s="1"/>
  <c r="H47" i="1"/>
  <c r="E47" i="1"/>
  <c r="H44" i="1"/>
  <c r="E44" i="1"/>
  <c r="I44" i="1" s="1"/>
  <c r="H40" i="1"/>
  <c r="E40" i="1"/>
  <c r="I40" i="1" s="1"/>
  <c r="H31" i="1"/>
  <c r="E31" i="1"/>
  <c r="H29" i="1"/>
  <c r="E29" i="1"/>
  <c r="H28" i="1"/>
  <c r="E28" i="1"/>
  <c r="H20" i="1"/>
  <c r="E20" i="1"/>
  <c r="E11" i="1"/>
  <c r="H11" i="1"/>
  <c r="E24" i="1"/>
  <c r="H24" i="1"/>
  <c r="E34" i="1"/>
  <c r="H34" i="1"/>
  <c r="E25" i="1"/>
  <c r="H25" i="1"/>
  <c r="E35" i="1"/>
  <c r="H35" i="1"/>
  <c r="E12" i="1"/>
  <c r="H12" i="1"/>
  <c r="E26" i="1"/>
  <c r="H26" i="1"/>
  <c r="E27" i="1"/>
  <c r="H27" i="1"/>
  <c r="E13" i="1"/>
  <c r="H13" i="1"/>
  <c r="E14" i="1"/>
  <c r="H14" i="1"/>
  <c r="E39" i="1"/>
  <c r="H39" i="1"/>
  <c r="E15" i="1"/>
  <c r="H15" i="1"/>
  <c r="E16" i="1"/>
  <c r="H16" i="1"/>
  <c r="E6" i="1"/>
  <c r="H6" i="1"/>
  <c r="E17" i="1"/>
  <c r="H17" i="1"/>
  <c r="H10" i="1"/>
  <c r="E10" i="1"/>
  <c r="H104" i="1"/>
  <c r="E104" i="1"/>
  <c r="H103" i="1"/>
  <c r="E103" i="1"/>
  <c r="H36" i="1"/>
  <c r="H5" i="1"/>
  <c r="H7" i="1"/>
  <c r="H8" i="1"/>
  <c r="H9" i="1"/>
  <c r="H18" i="1"/>
  <c r="H19" i="1"/>
  <c r="H30" i="1"/>
  <c r="H21" i="1"/>
  <c r="H22" i="1"/>
  <c r="H49" i="1"/>
  <c r="H23" i="1"/>
  <c r="H32" i="1"/>
  <c r="H33" i="1"/>
  <c r="H46" i="1"/>
  <c r="H37" i="1"/>
  <c r="H50" i="1"/>
  <c r="H41" i="1"/>
  <c r="H51" i="1"/>
  <c r="H42" i="1"/>
  <c r="H43" i="1"/>
  <c r="H52" i="1"/>
  <c r="H45" i="1"/>
  <c r="H38" i="1"/>
  <c r="H48" i="1"/>
  <c r="H71" i="1"/>
  <c r="H57" i="1"/>
  <c r="H55" i="1"/>
  <c r="H53" i="1"/>
  <c r="H54" i="1"/>
  <c r="H58" i="1"/>
  <c r="H60" i="1"/>
  <c r="H59" i="1"/>
  <c r="H61" i="1"/>
  <c r="H62" i="1"/>
  <c r="H74" i="1"/>
  <c r="H68" i="1"/>
  <c r="H66" i="1"/>
  <c r="H67" i="1"/>
  <c r="H56" i="1"/>
  <c r="H72" i="1"/>
  <c r="H69" i="1"/>
  <c r="H75" i="1"/>
  <c r="H76" i="1"/>
  <c r="H73" i="1"/>
  <c r="H64" i="1"/>
  <c r="H79" i="1"/>
  <c r="H78" i="1"/>
  <c r="H80" i="1"/>
  <c r="H77" i="1"/>
  <c r="H63" i="1"/>
  <c r="H81" i="1"/>
  <c r="H82" i="1"/>
  <c r="H83" i="1"/>
  <c r="H84" i="1"/>
  <c r="H87" i="1"/>
  <c r="H65" i="1"/>
  <c r="H86" i="1"/>
  <c r="H85" i="1"/>
  <c r="H88" i="1"/>
  <c r="H89" i="1"/>
  <c r="H90" i="1"/>
  <c r="H91" i="1"/>
  <c r="H92" i="1"/>
  <c r="H93" i="1"/>
  <c r="H95" i="1"/>
  <c r="H96" i="1"/>
  <c r="H98" i="1"/>
  <c r="H94" i="1"/>
  <c r="H97" i="1"/>
  <c r="H99" i="1"/>
  <c r="H100" i="1"/>
  <c r="H101" i="1"/>
  <c r="H3" i="1"/>
  <c r="E5" i="1"/>
  <c r="E7" i="1"/>
  <c r="E8" i="1"/>
  <c r="E9" i="1"/>
  <c r="E18" i="1"/>
  <c r="E19" i="1"/>
  <c r="E21" i="1"/>
  <c r="I21" i="1" s="1"/>
  <c r="E30" i="1"/>
  <c r="E22" i="1"/>
  <c r="E49" i="1"/>
  <c r="E71" i="1"/>
  <c r="E57" i="1"/>
  <c r="E55" i="1"/>
  <c r="E46" i="1"/>
  <c r="E23" i="1"/>
  <c r="E51" i="1"/>
  <c r="E32" i="1"/>
  <c r="E74" i="1"/>
  <c r="E68" i="1"/>
  <c r="E48" i="1"/>
  <c r="E33" i="1"/>
  <c r="E56" i="1"/>
  <c r="E72" i="1"/>
  <c r="E37" i="1"/>
  <c r="E60" i="1"/>
  <c r="E50" i="1"/>
  <c r="E75" i="1"/>
  <c r="E41" i="1"/>
  <c r="E42" i="1"/>
  <c r="E43" i="1"/>
  <c r="E52" i="1"/>
  <c r="E64" i="1"/>
  <c r="E79" i="1"/>
  <c r="E45" i="1"/>
  <c r="E78" i="1"/>
  <c r="E38" i="1"/>
  <c r="E66" i="1"/>
  <c r="E82" i="1"/>
  <c r="E53" i="1"/>
  <c r="E36" i="1"/>
  <c r="E54" i="1"/>
  <c r="E58" i="1"/>
  <c r="E76" i="1"/>
  <c r="I76" i="1" s="1"/>
  <c r="E59" i="1"/>
  <c r="E84" i="1"/>
  <c r="E87" i="1"/>
  <c r="E61" i="1"/>
  <c r="E62" i="1"/>
  <c r="E86" i="1"/>
  <c r="E80" i="1"/>
  <c r="E85" i="1"/>
  <c r="E88" i="1"/>
  <c r="E89" i="1"/>
  <c r="E81" i="1"/>
  <c r="E67" i="1"/>
  <c r="E69" i="1"/>
  <c r="E91" i="1"/>
  <c r="E92" i="1"/>
  <c r="E83" i="1"/>
  <c r="E93" i="1"/>
  <c r="E73" i="1"/>
  <c r="E65" i="1"/>
  <c r="E95" i="1"/>
  <c r="E96" i="1"/>
  <c r="E77" i="1"/>
  <c r="E63" i="1"/>
  <c r="E94" i="1"/>
  <c r="I94" i="1" s="1"/>
  <c r="E90" i="1"/>
  <c r="E97" i="1"/>
  <c r="E98" i="1"/>
  <c r="E99" i="1"/>
  <c r="E100" i="1"/>
  <c r="E101" i="1"/>
  <c r="E3" i="1"/>
  <c r="I20" i="1" l="1"/>
  <c r="I47" i="1"/>
  <c r="I106" i="1"/>
  <c r="I31" i="1"/>
  <c r="I105" i="1"/>
  <c r="I95" i="1"/>
  <c r="I52" i="1"/>
  <c r="I55" i="1"/>
  <c r="I29" i="1"/>
  <c r="I6" i="1"/>
  <c r="I27" i="1"/>
  <c r="I24" i="1"/>
  <c r="I34" i="1"/>
  <c r="I66" i="1"/>
  <c r="I28" i="1"/>
  <c r="I25" i="1"/>
  <c r="I15" i="1"/>
  <c r="I11" i="1"/>
  <c r="I12" i="1"/>
  <c r="I10" i="1"/>
  <c r="I39" i="1"/>
  <c r="I17" i="1"/>
  <c r="I16" i="1"/>
  <c r="I26" i="1"/>
  <c r="I14" i="1"/>
  <c r="I35" i="1"/>
  <c r="I13" i="1"/>
  <c r="I104" i="1"/>
  <c r="I75" i="1"/>
  <c r="I37" i="1"/>
  <c r="I7" i="1"/>
  <c r="I91" i="1"/>
  <c r="I69" i="1"/>
  <c r="I103" i="1"/>
  <c r="I63" i="1"/>
  <c r="I67" i="1"/>
  <c r="I42" i="1"/>
  <c r="I3" i="1"/>
  <c r="I46" i="1"/>
  <c r="I57" i="1"/>
  <c r="I81" i="1"/>
  <c r="I77" i="1"/>
  <c r="I53" i="1"/>
  <c r="I8" i="1"/>
  <c r="I82" i="1"/>
  <c r="I50" i="1"/>
  <c r="I71" i="1"/>
  <c r="I33" i="1"/>
  <c r="I90" i="1"/>
  <c r="I48" i="1"/>
  <c r="I32" i="1"/>
  <c r="I74" i="1"/>
  <c r="I89" i="1"/>
  <c r="I54" i="1"/>
  <c r="I18" i="1"/>
  <c r="I96" i="1"/>
  <c r="I88" i="1"/>
  <c r="I36" i="1"/>
  <c r="I41" i="1"/>
  <c r="I51" i="1"/>
  <c r="I9" i="1"/>
  <c r="I23" i="1"/>
  <c r="I80" i="1"/>
  <c r="I100" i="1"/>
  <c r="I83" i="1"/>
  <c r="I78" i="1"/>
  <c r="I72" i="1"/>
  <c r="I68" i="1"/>
  <c r="I101" i="1"/>
  <c r="I93" i="1"/>
  <c r="I38" i="1"/>
  <c r="I5" i="1"/>
  <c r="I92" i="1"/>
  <c r="I56" i="1"/>
  <c r="I58" i="1"/>
  <c r="I43" i="1"/>
  <c r="I19" i="1"/>
  <c r="I84" i="1"/>
  <c r="I85" i="1"/>
  <c r="I65" i="1"/>
  <c r="I73" i="1"/>
  <c r="I86" i="1"/>
  <c r="I60" i="1"/>
  <c r="I62" i="1"/>
  <c r="I99" i="1"/>
  <c r="I61" i="1"/>
  <c r="I98" i="1"/>
  <c r="I87" i="1"/>
  <c r="I45" i="1"/>
  <c r="I49" i="1"/>
  <c r="I97" i="1"/>
  <c r="I79" i="1"/>
  <c r="I22" i="1"/>
  <c r="I59" i="1"/>
  <c r="I64" i="1"/>
  <c r="I30" i="1"/>
</calcChain>
</file>

<file path=xl/sharedStrings.xml><?xml version="1.0" encoding="utf-8"?>
<sst xmlns="http://schemas.openxmlformats.org/spreadsheetml/2006/main" count="380" uniqueCount="126">
  <si>
    <t>Mob</t>
  </si>
  <si>
    <t>Attitude</t>
  </si>
  <si>
    <t>HP</t>
  </si>
  <si>
    <t>allay</t>
  </si>
  <si>
    <t>Passive</t>
  </si>
  <si>
    <t>Agressive</t>
  </si>
  <si>
    <t>Neutral</t>
  </si>
  <si>
    <t>Boss</t>
  </si>
  <si>
    <t>axolotl</t>
  </si>
  <si>
    <t>bat</t>
  </si>
  <si>
    <t>camel</t>
  </si>
  <si>
    <t>cat</t>
  </si>
  <si>
    <t>chicken</t>
  </si>
  <si>
    <t>cod</t>
  </si>
  <si>
    <t>cow</t>
  </si>
  <si>
    <t>donkey</t>
  </si>
  <si>
    <t>frog</t>
  </si>
  <si>
    <t>glow_squid</t>
  </si>
  <si>
    <t>horse</t>
  </si>
  <si>
    <t>mule</t>
  </si>
  <si>
    <t>ocelot</t>
  </si>
  <si>
    <t>parrot</t>
  </si>
  <si>
    <t>pig</t>
  </si>
  <si>
    <t>pufferfish</t>
  </si>
  <si>
    <t>rabbit</t>
  </si>
  <si>
    <t>salmon</t>
  </si>
  <si>
    <t>sheep</t>
  </si>
  <si>
    <t>skeleton_horse</t>
  </si>
  <si>
    <t>sniffer</t>
  </si>
  <si>
    <t>snow_golem</t>
  </si>
  <si>
    <t>squid</t>
  </si>
  <si>
    <t>strider</t>
  </si>
  <si>
    <t>tadpole</t>
  </si>
  <si>
    <t>tropical_fish</t>
  </si>
  <si>
    <t>turtle</t>
  </si>
  <si>
    <t>villager</t>
  </si>
  <si>
    <t>wandering_trader</t>
  </si>
  <si>
    <t>armadillo</t>
  </si>
  <si>
    <t>mooshroom</t>
  </si>
  <si>
    <t>bee</t>
  </si>
  <si>
    <t>Poison Damage</t>
  </si>
  <si>
    <t>Facile</t>
  </si>
  <si>
    <t>Normal</t>
  </si>
  <si>
    <t>Difficile</t>
  </si>
  <si>
    <t>cave_spider</t>
  </si>
  <si>
    <t>dolphin</t>
  </si>
  <si>
    <t>drowned</t>
  </si>
  <si>
    <t>Melee Damage</t>
  </si>
  <si>
    <t>Armed Melee Damage</t>
  </si>
  <si>
    <t>Ranged Damage</t>
  </si>
  <si>
    <t>enderman</t>
  </si>
  <si>
    <t>fox</t>
  </si>
  <si>
    <t>goat</t>
  </si>
  <si>
    <t>iron_golem</t>
  </si>
  <si>
    <t>llama</t>
  </si>
  <si>
    <t>panda</t>
  </si>
  <si>
    <t>piglin</t>
  </si>
  <si>
    <t>polar_bear</t>
  </si>
  <si>
    <t>spider</t>
  </si>
  <si>
    <t>wolf</t>
  </si>
  <si>
    <t>zombified_piglin</t>
  </si>
  <si>
    <t>blaze</t>
  </si>
  <si>
    <t>Fire Damage</t>
  </si>
  <si>
    <t>creeper</t>
  </si>
  <si>
    <t>elder_guardian</t>
  </si>
  <si>
    <t>endermite</t>
  </si>
  <si>
    <t>evoker</t>
  </si>
  <si>
    <t>ghast</t>
  </si>
  <si>
    <t>guardian</t>
  </si>
  <si>
    <t>hoglin</t>
  </si>
  <si>
    <t>husk</t>
  </si>
  <si>
    <t>magma_cube</t>
  </si>
  <si>
    <t>phantom</t>
  </si>
  <si>
    <t>piglin_brute</t>
  </si>
  <si>
    <t>pillager</t>
  </si>
  <si>
    <t>ravager</t>
  </si>
  <si>
    <t>shulker</t>
  </si>
  <si>
    <t>silverfish</t>
  </si>
  <si>
    <t>skeleton</t>
  </si>
  <si>
    <t>slime</t>
  </si>
  <si>
    <t>stray</t>
  </si>
  <si>
    <t>vex</t>
  </si>
  <si>
    <t>vindicator</t>
  </si>
  <si>
    <t>witch</t>
  </si>
  <si>
    <t>wither_skeleton</t>
  </si>
  <si>
    <t>zoglin</t>
  </si>
  <si>
    <t>zombie</t>
  </si>
  <si>
    <t>zombie_villager</t>
  </si>
  <si>
    <t>ender_dragon</t>
  </si>
  <si>
    <t>wither</t>
  </si>
  <si>
    <t>warden</t>
  </si>
  <si>
    <t>Foundable
Index</t>
  </si>
  <si>
    <t>Points</t>
  </si>
  <si>
    <t>Multiplier</t>
  </si>
  <si>
    <t>Average damage</t>
  </si>
  <si>
    <t>Attitude
Multiplier</t>
  </si>
  <si>
    <t>bogged</t>
  </si>
  <si>
    <t>breeze</t>
  </si>
  <si>
    <t>Attribute</t>
  </si>
  <si>
    <t>BABY</t>
  </si>
  <si>
    <t>BLACK</t>
  </si>
  <si>
    <t>BLUE</t>
  </si>
  <si>
    <t>BROWN</t>
  </si>
  <si>
    <t>CYAN</t>
  </si>
  <si>
    <t>GRAY</t>
  </si>
  <si>
    <t>GREEN</t>
  </si>
  <si>
    <t>LIGHT_BLUE</t>
  </si>
  <si>
    <t>LIGHT_GRAY</t>
  </si>
  <si>
    <t>LIME</t>
  </si>
  <si>
    <t>MAGENTA</t>
  </si>
  <si>
    <t>ORANGE</t>
  </si>
  <si>
    <t>PINK</t>
  </si>
  <si>
    <t>PURPLE</t>
  </si>
  <si>
    <t>RED</t>
  </si>
  <si>
    <t>WHITE</t>
  </si>
  <si>
    <t>YELLOW</t>
  </si>
  <si>
    <t>Version</t>
  </si>
  <si>
    <t>1.20.6</t>
  </si>
  <si>
    <t>1.21.4</t>
  </si>
  <si>
    <t>creaking</t>
  </si>
  <si>
    <t>1.21.6</t>
  </si>
  <si>
    <t>happy_ghast</t>
  </si>
  <si>
    <t>1.21.0</t>
  </si>
  <si>
    <t>Version Data</t>
  </si>
  <si>
    <t>Version Name</t>
  </si>
  <si>
    <t>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</si>
</sst>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2" borderId="10" xfId="0" applyFill="1" applyBorder="1" applyAlignment="1">
      <alignment horizontal="center" vertical="center"/>
    </xf>
    <xf numFmtId="0" fontId="0" fillId="3" borderId="14" xfId="0" applyFill="1" applyBorder="1"/>
    <xf numFmtId="49" fontId="0" fillId="3" borderId="18" xfId="0" applyNumberFormat="1" applyFill="1" applyBorder="1"/>
    <xf numFmtId="49" fontId="0" fillId="3" borderId="19" xfId="0" applyNumberFormat="1" applyFill="1" applyBorder="1"/>
    <xf numFmtId="49" fontId="0" fillId="3" borderId="0" xfId="0" applyNumberFormat="1" applyFill="1"/>
    <xf numFmtId="49" fontId="0" fillId="0" borderId="0" xfId="0" applyNumberFormat="1"/>
    <xf numFmtId="0" fontId="2" fillId="2" borderId="0" xfId="0" applyFont="1" applyFill="1"/>
    <xf numFmtId="0" fontId="2" fillId="0" borderId="0" xfId="0" applyFont="1"/>
    <xf numFmtId="49" fontId="0" fillId="2" borderId="2" xfId="0" applyNumberFormat="1" applyFill="1" applyBorder="1" applyAlignment="1">
      <alignment horizontal="center" vertical="center"/>
    </xf>
    <xf numFmtId="49" fontId="0" fillId="2" borderId="5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Datas!$I$1</c:f>
              <c:strCache>
                <c:ptCount val="1"/>
                <c:pt idx="0">
                  <c:v>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Datas!$B$2:$B$107</c15:sqref>
                  </c15:fullRef>
                </c:ext>
              </c:extLst>
              <c:f>Datas!$B$3:$B$107</c:f>
              <c:strCache>
                <c:ptCount val="104"/>
                <c:pt idx="0">
                  <c:v>chicken</c:v>
                </c:pt>
                <c:pt idx="1">
                  <c:v>player</c:v>
                </c:pt>
                <c:pt idx="2">
                  <c:v>salmon</c:v>
                </c:pt>
                <c:pt idx="3">
                  <c:v>sheep</c:v>
                </c:pt>
                <c:pt idx="4">
                  <c:v>cod</c:v>
                </c:pt>
                <c:pt idx="5">
                  <c:v>cow</c:v>
                </c:pt>
                <c:pt idx="6">
                  <c:v>pig</c:v>
                </c:pt>
                <c:pt idx="7">
                  <c:v>sheep</c:v>
                </c:pt>
                <c:pt idx="8">
                  <c:v>sheep</c:v>
                </c:pt>
                <c:pt idx="9">
                  <c:v>sheep</c:v>
                </c:pt>
                <c:pt idx="10">
                  <c:v>sheep</c:v>
                </c:pt>
                <c:pt idx="11">
                  <c:v>sheep</c:v>
                </c:pt>
                <c:pt idx="12">
                  <c:v>sheep</c:v>
                </c:pt>
                <c:pt idx="13">
                  <c:v>sheep</c:v>
                </c:pt>
                <c:pt idx="14">
                  <c:v>sheep</c:v>
                </c:pt>
                <c:pt idx="15">
                  <c:v>snow_golem</c:v>
                </c:pt>
                <c:pt idx="16">
                  <c:v>bat</c:v>
                </c:pt>
                <c:pt idx="17">
                  <c:v>chicken</c:v>
                </c:pt>
                <c:pt idx="18">
                  <c:v>pufferfish</c:v>
                </c:pt>
                <c:pt idx="19">
                  <c:v>squid</c:v>
                </c:pt>
                <c:pt idx="20">
                  <c:v>tropical_fish</c:v>
                </c:pt>
                <c:pt idx="21">
                  <c:v>sheep</c:v>
                </c:pt>
                <c:pt idx="22">
                  <c:v>sheep</c:v>
                </c:pt>
                <c:pt idx="23">
                  <c:v>sheep</c:v>
                </c:pt>
                <c:pt idx="24">
                  <c:v>sheep</c:v>
                </c:pt>
                <c:pt idx="25">
                  <c:v>cow</c:v>
                </c:pt>
                <c:pt idx="26">
                  <c:v>pig</c:v>
                </c:pt>
                <c:pt idx="27">
                  <c:v>rabbit</c:v>
                </c:pt>
                <c:pt idx="28">
                  <c:v>rabbit</c:v>
                </c:pt>
                <c:pt idx="29">
                  <c:v>glow_squid</c:v>
                </c:pt>
                <c:pt idx="30">
                  <c:v>tadpole</c:v>
                </c:pt>
                <c:pt idx="31">
                  <c:v>sheep</c:v>
                </c:pt>
                <c:pt idx="32">
                  <c:v>sheep</c:v>
                </c:pt>
                <c:pt idx="33">
                  <c:v>slime</c:v>
                </c:pt>
                <c:pt idx="34">
                  <c:v>parrot</c:v>
                </c:pt>
                <c:pt idx="35">
                  <c:v>horse</c:v>
                </c:pt>
                <c:pt idx="36">
                  <c:v>sheep</c:v>
                </c:pt>
                <c:pt idx="37">
                  <c:v>armadillo</c:v>
                </c:pt>
                <c:pt idx="38">
                  <c:v>frog</c:v>
                </c:pt>
                <c:pt idx="39">
                  <c:v>cat</c:v>
                </c:pt>
                <c:pt idx="40">
                  <c:v>ocelot</c:v>
                </c:pt>
                <c:pt idx="41">
                  <c:v>villager</c:v>
                </c:pt>
                <c:pt idx="42">
                  <c:v>strider</c:v>
                </c:pt>
                <c:pt idx="43">
                  <c:v>zombified_piglin</c:v>
                </c:pt>
                <c:pt idx="44">
                  <c:v>horse</c:v>
                </c:pt>
                <c:pt idx="45">
                  <c:v>spider</c:v>
                </c:pt>
                <c:pt idx="46">
                  <c:v>dolphin</c:v>
                </c:pt>
                <c:pt idx="47">
                  <c:v>armadillo</c:v>
                </c:pt>
                <c:pt idx="48">
                  <c:v>bee</c:v>
                </c:pt>
                <c:pt idx="49">
                  <c:v>villager</c:v>
                </c:pt>
                <c:pt idx="50">
                  <c:v>fox</c:v>
                </c:pt>
                <c:pt idx="51">
                  <c:v>wandering_trader</c:v>
                </c:pt>
                <c:pt idx="52">
                  <c:v>zombie</c:v>
                </c:pt>
                <c:pt idx="53">
                  <c:v>ghast</c:v>
                </c:pt>
                <c:pt idx="54">
                  <c:v>skeleton</c:v>
                </c:pt>
                <c:pt idx="55">
                  <c:v>donkey</c:v>
                </c:pt>
                <c:pt idx="56">
                  <c:v>mooshroom</c:v>
                </c:pt>
                <c:pt idx="57">
                  <c:v>wolf</c:v>
                </c:pt>
                <c:pt idx="58">
                  <c:v>axolotl</c:v>
                </c:pt>
                <c:pt idx="59">
                  <c:v>sniffer</c:v>
                </c:pt>
                <c:pt idx="60">
                  <c:v>turtle</c:v>
                </c:pt>
                <c:pt idx="61">
                  <c:v>drowned</c:v>
                </c:pt>
                <c:pt idx="62">
                  <c:v>polar_bear</c:v>
                </c:pt>
                <c:pt idx="63">
                  <c:v>goat</c:v>
                </c:pt>
                <c:pt idx="64">
                  <c:v>skeleton_horse</c:v>
                </c:pt>
                <c:pt idx="65">
                  <c:v>piglin</c:v>
                </c:pt>
                <c:pt idx="66">
                  <c:v>allay</c:v>
                </c:pt>
                <c:pt idx="67">
                  <c:v>zombie</c:v>
                </c:pt>
                <c:pt idx="68">
                  <c:v>creeper</c:v>
                </c:pt>
                <c:pt idx="69">
                  <c:v>husk</c:v>
                </c:pt>
                <c:pt idx="70">
                  <c:v>camel</c:v>
                </c:pt>
                <c:pt idx="71">
                  <c:v>silverfish</c:v>
                </c:pt>
                <c:pt idx="72">
                  <c:v>magma_cube</c:v>
                </c:pt>
                <c:pt idx="73">
                  <c:v>cave_spider</c:v>
                </c:pt>
                <c:pt idx="74">
                  <c:v>mule</c:v>
                </c:pt>
                <c:pt idx="75">
                  <c:v>zombie_villager</c:v>
                </c:pt>
                <c:pt idx="76">
                  <c:v>stray</c:v>
                </c:pt>
                <c:pt idx="77">
                  <c:v>enderman</c:v>
                </c:pt>
                <c:pt idx="78">
                  <c:v>panda</c:v>
                </c:pt>
                <c:pt idx="79">
                  <c:v>endermite</c:v>
                </c:pt>
                <c:pt idx="80">
                  <c:v>llama</c:v>
                </c:pt>
                <c:pt idx="81">
                  <c:v>phantom</c:v>
                </c:pt>
                <c:pt idx="82">
                  <c:v>hoglin</c:v>
                </c:pt>
                <c:pt idx="83">
                  <c:v>guardian</c:v>
                </c:pt>
                <c:pt idx="84">
                  <c:v>witch</c:v>
                </c:pt>
                <c:pt idx="85">
                  <c:v>vex</c:v>
                </c:pt>
                <c:pt idx="86">
                  <c:v>blaze</c:v>
                </c:pt>
                <c:pt idx="87">
                  <c:v>iron_golem</c:v>
                </c:pt>
                <c:pt idx="88">
                  <c:v>wither_skeleton</c:v>
                </c:pt>
                <c:pt idx="89">
                  <c:v>pillager</c:v>
                </c:pt>
                <c:pt idx="90">
                  <c:v>shulker</c:v>
                </c:pt>
                <c:pt idx="91">
                  <c:v>piglin_brute</c:v>
                </c:pt>
                <c:pt idx="92">
                  <c:v>evoker</c:v>
                </c:pt>
                <c:pt idx="93">
                  <c:v>vindicator</c:v>
                </c:pt>
                <c:pt idx="94">
                  <c:v>zoglin</c:v>
                </c:pt>
                <c:pt idx="95">
                  <c:v>elder_guardian</c:v>
                </c:pt>
                <c:pt idx="96">
                  <c:v>ravager</c:v>
                </c:pt>
                <c:pt idx="97">
                  <c:v>ender_dragon</c:v>
                </c:pt>
                <c:pt idx="98">
                  <c:v>wither</c:v>
                </c:pt>
                <c:pt idx="99">
                  <c:v>warden</c:v>
                </c:pt>
                <c:pt idx="100">
                  <c:v>bogged</c:v>
                </c:pt>
                <c:pt idx="101">
                  <c:v>breeze</c:v>
                </c:pt>
                <c:pt idx="102">
                  <c:v>creaking</c:v>
                </c:pt>
                <c:pt idx="103">
                  <c:v>happy_ghast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Datas!$I$2:$I$107</c15:sqref>
                  </c15:fullRef>
                </c:ext>
              </c:extLst>
              <c:f>Datas!$I$3:$I$107</c:f>
              <c:numCache>
                <c:formatCode>General</c:formatCode>
                <c:ptCount val="105"/>
                <c:pt idx="0">
                  <c:v>2</c:v>
                </c:pt>
                <c:pt idx="1">
                  <c:v>261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18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21</c:v>
                </c:pt>
                <c:pt idx="35">
                  <c:v>23</c:v>
                </c:pt>
                <c:pt idx="36">
                  <c:v>24</c:v>
                </c:pt>
                <c:pt idx="37">
                  <c:v>24</c:v>
                </c:pt>
                <c:pt idx="38">
                  <c:v>25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33</c:v>
                </c:pt>
                <c:pt idx="44">
                  <c:v>34</c:v>
                </c:pt>
                <c:pt idx="45">
                  <c:v>34</c:v>
                </c:pt>
                <c:pt idx="46">
                  <c:v>35</c:v>
                </c:pt>
                <c:pt idx="47">
                  <c:v>36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43</c:v>
                </c:pt>
                <c:pt idx="53">
                  <c:v>43</c:v>
                </c:pt>
                <c:pt idx="54">
                  <c:v>45</c:v>
                </c:pt>
                <c:pt idx="55">
                  <c:v>45</c:v>
                </c:pt>
                <c:pt idx="56">
                  <c:v>50</c:v>
                </c:pt>
                <c:pt idx="57">
                  <c:v>52</c:v>
                </c:pt>
                <c:pt idx="58">
                  <c:v>56</c:v>
                </c:pt>
                <c:pt idx="59">
                  <c:v>56</c:v>
                </c:pt>
                <c:pt idx="60">
                  <c:v>60</c:v>
                </c:pt>
                <c:pt idx="61">
                  <c:v>63</c:v>
                </c:pt>
                <c:pt idx="62">
                  <c:v>66</c:v>
                </c:pt>
                <c:pt idx="63">
                  <c:v>72</c:v>
                </c:pt>
                <c:pt idx="64">
                  <c:v>75</c:v>
                </c:pt>
                <c:pt idx="65">
                  <c:v>79</c:v>
                </c:pt>
                <c:pt idx="66">
                  <c:v>600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96</c:v>
                </c:pt>
                <c:pt idx="71">
                  <c:v>97</c:v>
                </c:pt>
                <c:pt idx="72">
                  <c:v>102</c:v>
                </c:pt>
                <c:pt idx="73">
                  <c:v>104</c:v>
                </c:pt>
                <c:pt idx="74">
                  <c:v>120</c:v>
                </c:pt>
                <c:pt idx="75">
                  <c:v>123</c:v>
                </c:pt>
                <c:pt idx="76">
                  <c:v>125</c:v>
                </c:pt>
                <c:pt idx="77">
                  <c:v>127</c:v>
                </c:pt>
                <c:pt idx="78">
                  <c:v>146</c:v>
                </c:pt>
                <c:pt idx="79">
                  <c:v>162</c:v>
                </c:pt>
                <c:pt idx="80">
                  <c:v>181</c:v>
                </c:pt>
                <c:pt idx="81">
                  <c:v>202</c:v>
                </c:pt>
                <c:pt idx="82">
                  <c:v>403</c:v>
                </c:pt>
                <c:pt idx="83">
                  <c:v>308</c:v>
                </c:pt>
                <c:pt idx="84">
                  <c:v>250</c:v>
                </c:pt>
                <c:pt idx="85">
                  <c:v>293</c:v>
                </c:pt>
                <c:pt idx="86">
                  <c:v>296</c:v>
                </c:pt>
                <c:pt idx="87">
                  <c:v>307</c:v>
                </c:pt>
                <c:pt idx="88">
                  <c:v>410</c:v>
                </c:pt>
                <c:pt idx="89">
                  <c:v>295</c:v>
                </c:pt>
                <c:pt idx="90">
                  <c:v>364</c:v>
                </c:pt>
                <c:pt idx="91">
                  <c:v>520</c:v>
                </c:pt>
                <c:pt idx="92">
                  <c:v>486</c:v>
                </c:pt>
                <c:pt idx="93">
                  <c:v>498</c:v>
                </c:pt>
                <c:pt idx="94">
                  <c:v>803</c:v>
                </c:pt>
                <c:pt idx="95">
                  <c:v>970</c:v>
                </c:pt>
                <c:pt idx="96">
                  <c:v>2018</c:v>
                </c:pt>
                <c:pt idx="97">
                  <c:v>4028</c:v>
                </c:pt>
                <c:pt idx="98">
                  <c:v>6008</c:v>
                </c:pt>
                <c:pt idx="99">
                  <c:v>8040</c:v>
                </c:pt>
                <c:pt idx="100">
                  <c:v>171</c:v>
                </c:pt>
                <c:pt idx="101">
                  <c:v>301</c:v>
                </c:pt>
                <c:pt idx="102">
                  <c:v>1003</c:v>
                </c:pt>
                <c:pt idx="103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4F-4A46-9FE1-9EEDDAF6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162304"/>
        <c:axId val="1027166624"/>
      </c:lineChart>
      <c:catAx>
        <c:axId val="102716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6624"/>
        <c:crosses val="autoZero"/>
        <c:auto val="1"/>
        <c:lblAlgn val="ctr"/>
        <c:lblOffset val="100"/>
        <c:noMultiLvlLbl val="0"/>
      </c:catAx>
      <c:valAx>
        <c:axId val="10271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50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76200</xdr:rowOff>
        </xdr:from>
        <xdr:to>
          <xdr:col>8</xdr:col>
          <xdr:colOff>295275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 Bouton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285750</xdr:colOff>
      <xdr:row>34</xdr:row>
      <xdr:rowOff>28574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1915-B0A9-4750-84FD-4EC90382D071}">
  <sheetPr codeName="Feuil1"/>
  <dimension ref="A1:X106"/>
  <sheetViews>
    <sheetView tabSelected="1" zoomScale="145" zoomScaleNormal="145" workbookViewId="0">
      <pane ySplit="1" topLeftCell="A2" activePane="bottomLeft" state="frozen"/>
      <selection activeCell="C1" sqref="C1"/>
      <selection pane="bottomLeft" activeCell="M1" sqref="M1:O1"/>
    </sheetView>
  </sheetViews>
  <sheetFormatPr baseColWidth="10" defaultRowHeight="15" x14ac:dyDescent="0.25"/>
  <cols>
    <col min="1" max="1" width="11.42578125" style="21"/>
    <col min="2" max="2" width="16.5703125" style="7" bestFit="1" customWidth="1"/>
    <col min="3" max="3" width="12.28515625" style="7" bestFit="1" customWidth="1"/>
    <col min="4" max="4" width="12.28515625" style="7" customWidth="1"/>
    <col min="5" max="5" width="13.28515625" style="7" customWidth="1"/>
    <col min="6" max="6" width="8" style="7" bestFit="1" customWidth="1"/>
    <col min="7" max="7" width="15" style="7" customWidth="1"/>
    <col min="8" max="8" width="20" style="7" bestFit="1" customWidth="1"/>
    <col min="9" max="9" width="11.140625" style="7" bestFit="1" customWidth="1"/>
    <col min="10" max="10" width="6.28515625" style="7" bestFit="1" customWidth="1"/>
    <col min="11" max="12" width="7.7109375" style="7" bestFit="1" customWidth="1"/>
    <col min="13" max="13" width="6.28515625" style="7" bestFit="1" customWidth="1"/>
    <col min="14" max="15" width="7.7109375" style="7" bestFit="1" customWidth="1"/>
    <col min="16" max="16" width="6.28515625" style="7" bestFit="1" customWidth="1"/>
    <col min="17" max="18" width="7.7109375" style="7" bestFit="1" customWidth="1"/>
    <col min="19" max="19" width="6.28515625" style="7" bestFit="1" customWidth="1"/>
    <col min="20" max="21" width="7.7109375" style="7" bestFit="1" customWidth="1"/>
    <col min="22" max="22" width="6.28515625" style="7" bestFit="1" customWidth="1"/>
    <col min="23" max="24" width="7.7109375" style="7" bestFit="1" customWidth="1"/>
    <col min="25" max="16384" width="11.42578125" style="7"/>
  </cols>
  <sheetData>
    <row r="1" spans="1:24" ht="51" customHeight="1" x14ac:dyDescent="0.25">
      <c r="A1" s="25" t="s">
        <v>116</v>
      </c>
      <c r="B1" s="32" t="s">
        <v>0</v>
      </c>
      <c r="C1" s="27" t="s">
        <v>1</v>
      </c>
      <c r="D1" s="17" t="s">
        <v>98</v>
      </c>
      <c r="E1" s="29" t="s">
        <v>95</v>
      </c>
      <c r="F1" s="27" t="s">
        <v>2</v>
      </c>
      <c r="G1" s="29" t="s">
        <v>91</v>
      </c>
      <c r="H1" s="29" t="s">
        <v>94</v>
      </c>
      <c r="I1" s="29" t="s">
        <v>92</v>
      </c>
      <c r="J1" s="27" t="s">
        <v>47</v>
      </c>
      <c r="K1" s="27"/>
      <c r="L1" s="27"/>
      <c r="M1" s="27" t="s">
        <v>48</v>
      </c>
      <c r="N1" s="27"/>
      <c r="O1" s="27"/>
      <c r="P1" s="27" t="s">
        <v>49</v>
      </c>
      <c r="Q1" s="27"/>
      <c r="R1" s="27"/>
      <c r="S1" s="27" t="s">
        <v>40</v>
      </c>
      <c r="T1" s="27"/>
      <c r="U1" s="27"/>
      <c r="V1" s="27" t="s">
        <v>62</v>
      </c>
      <c r="W1" s="27"/>
      <c r="X1" s="28"/>
    </row>
    <row r="2" spans="1:24" ht="15.75" thickBot="1" x14ac:dyDescent="0.3">
      <c r="A2" s="26"/>
      <c r="B2" s="33"/>
      <c r="C2" s="34"/>
      <c r="D2" s="13"/>
      <c r="E2" s="30"/>
      <c r="F2" s="34"/>
      <c r="G2" s="30"/>
      <c r="H2" s="31"/>
      <c r="I2" s="31"/>
      <c r="J2" s="11" t="s">
        <v>41</v>
      </c>
      <c r="K2" s="11" t="s">
        <v>42</v>
      </c>
      <c r="L2" s="11" t="s">
        <v>43</v>
      </c>
      <c r="M2" s="11" t="s">
        <v>41</v>
      </c>
      <c r="N2" s="11" t="s">
        <v>42</v>
      </c>
      <c r="O2" s="11" t="s">
        <v>43</v>
      </c>
      <c r="P2" s="11" t="s">
        <v>41</v>
      </c>
      <c r="Q2" s="11" t="s">
        <v>42</v>
      </c>
      <c r="R2" s="11" t="s">
        <v>43</v>
      </c>
      <c r="S2" s="11" t="s">
        <v>41</v>
      </c>
      <c r="T2" s="11" t="s">
        <v>42</v>
      </c>
      <c r="U2" s="11" t="s">
        <v>43</v>
      </c>
      <c r="V2" s="11" t="s">
        <v>41</v>
      </c>
      <c r="W2" s="11" t="s">
        <v>42</v>
      </c>
      <c r="X2" s="12" t="s">
        <v>43</v>
      </c>
    </row>
    <row r="3" spans="1:24" x14ac:dyDescent="0.25">
      <c r="A3" s="19" t="s">
        <v>117</v>
      </c>
      <c r="B3" s="8" t="s">
        <v>12</v>
      </c>
      <c r="C3" s="9" t="s">
        <v>4</v>
      </c>
      <c r="D3" s="9"/>
      <c r="E3" s="9">
        <f>VLOOKUP(C3,Resources!$A$2:$B$5,2,FALSE)</f>
        <v>0.5</v>
      </c>
      <c r="F3" s="9">
        <v>4</v>
      </c>
      <c r="G3" s="9">
        <v>1</v>
      </c>
      <c r="H3" s="9">
        <f t="shared" ref="H3:H35" si="0">TRUNC(((J3+K3+L3) / 3) + ((M3+N3+O3)/3) + ((P3+Q3+R3)/3) + ((S3+T3+U3)/3) + ((V3+W3+X3)/3))</f>
        <v>0</v>
      </c>
      <c r="I3" s="9">
        <f t="shared" ref="I3:I35" si="1">TRUNC(F3*G3*E3) + H3</f>
        <v>2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10">
        <v>0</v>
      </c>
    </row>
    <row r="4" spans="1:24" x14ac:dyDescent="0.25">
      <c r="A4" s="19" t="s">
        <v>117</v>
      </c>
      <c r="B4" s="8" t="s">
        <v>125</v>
      </c>
      <c r="C4" s="9" t="s">
        <v>5</v>
      </c>
      <c r="D4" s="9"/>
      <c r="E4" s="9">
        <f>VLOOKUP(C4,Resources!$A$2:$B$5,2,FALSE)</f>
        <v>2</v>
      </c>
      <c r="F4" s="9">
        <v>20</v>
      </c>
      <c r="G4" s="9">
        <v>6</v>
      </c>
      <c r="H4" s="9">
        <f t="shared" si="0"/>
        <v>21</v>
      </c>
      <c r="I4" s="9">
        <f t="shared" ref="I4" si="2">TRUNC(F4*G4*E4) + H4</f>
        <v>261</v>
      </c>
      <c r="J4" s="9">
        <v>1</v>
      </c>
      <c r="K4" s="9">
        <v>1</v>
      </c>
      <c r="L4" s="9">
        <v>1</v>
      </c>
      <c r="M4" s="9">
        <v>8</v>
      </c>
      <c r="N4" s="9">
        <v>8</v>
      </c>
      <c r="O4" s="9">
        <v>8</v>
      </c>
      <c r="P4" s="9">
        <v>12</v>
      </c>
      <c r="Q4" s="9">
        <v>12</v>
      </c>
      <c r="R4" s="9">
        <v>12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10">
        <v>0</v>
      </c>
    </row>
    <row r="5" spans="1:24" x14ac:dyDescent="0.25">
      <c r="A5" s="19" t="s">
        <v>117</v>
      </c>
      <c r="B5" s="8" t="s">
        <v>25</v>
      </c>
      <c r="C5" s="9" t="s">
        <v>4</v>
      </c>
      <c r="D5" s="9"/>
      <c r="E5" s="9">
        <f>VLOOKUP(C5,Resources!$A$2:$B$5,2,FALSE)</f>
        <v>0.5</v>
      </c>
      <c r="F5" s="9">
        <v>3</v>
      </c>
      <c r="G5" s="9">
        <v>2</v>
      </c>
      <c r="H5" s="9">
        <f t="shared" si="0"/>
        <v>0</v>
      </c>
      <c r="I5" s="9">
        <f t="shared" si="1"/>
        <v>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10">
        <v>0</v>
      </c>
    </row>
    <row r="6" spans="1:24" x14ac:dyDescent="0.25">
      <c r="A6" s="19" t="s">
        <v>117</v>
      </c>
      <c r="B6" s="1" t="s">
        <v>26</v>
      </c>
      <c r="C6" s="2" t="s">
        <v>4</v>
      </c>
      <c r="D6" s="2" t="s">
        <v>114</v>
      </c>
      <c r="E6" s="2">
        <f>VLOOKUP(C6,Resources!$A$2:$B$5,2,FALSE)</f>
        <v>0.5</v>
      </c>
      <c r="F6" s="2">
        <v>8</v>
      </c>
      <c r="G6" s="2">
        <v>1</v>
      </c>
      <c r="H6" s="2">
        <f t="shared" si="0"/>
        <v>0</v>
      </c>
      <c r="I6" s="9">
        <f t="shared" si="1"/>
        <v>4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3">
        <v>0</v>
      </c>
    </row>
    <row r="7" spans="1:24" x14ac:dyDescent="0.25">
      <c r="A7" s="19" t="s">
        <v>117</v>
      </c>
      <c r="B7" s="1" t="s">
        <v>13</v>
      </c>
      <c r="C7" s="2" t="s">
        <v>4</v>
      </c>
      <c r="D7" s="2"/>
      <c r="E7" s="2">
        <f>VLOOKUP(C7,Resources!$A$2:$B$5,2,FALSE)</f>
        <v>0.5</v>
      </c>
      <c r="F7" s="2">
        <v>3</v>
      </c>
      <c r="G7" s="2">
        <v>3</v>
      </c>
      <c r="H7" s="2">
        <f t="shared" si="0"/>
        <v>0</v>
      </c>
      <c r="I7" s="9">
        <f t="shared" si="1"/>
        <v>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3">
        <v>0</v>
      </c>
    </row>
    <row r="8" spans="1:24" x14ac:dyDescent="0.25">
      <c r="A8" s="19" t="s">
        <v>117</v>
      </c>
      <c r="B8" s="1" t="s">
        <v>14</v>
      </c>
      <c r="C8" s="2" t="s">
        <v>4</v>
      </c>
      <c r="D8" s="2"/>
      <c r="E8" s="2">
        <f>VLOOKUP(C8,Resources!$A$2:$B$5,2,FALSE)</f>
        <v>0.5</v>
      </c>
      <c r="F8" s="2">
        <v>10</v>
      </c>
      <c r="G8" s="2">
        <v>1</v>
      </c>
      <c r="H8" s="2">
        <f t="shared" si="0"/>
        <v>0</v>
      </c>
      <c r="I8" s="9">
        <f t="shared" si="1"/>
        <v>5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3">
        <v>0</v>
      </c>
    </row>
    <row r="9" spans="1:24" x14ac:dyDescent="0.25">
      <c r="A9" s="19" t="s">
        <v>117</v>
      </c>
      <c r="B9" s="1" t="s">
        <v>22</v>
      </c>
      <c r="C9" s="2" t="s">
        <v>4</v>
      </c>
      <c r="D9" s="2"/>
      <c r="E9" s="2">
        <f>VLOOKUP(C9,Resources!$A$2:$B$5,2,FALSE)</f>
        <v>0.5</v>
      </c>
      <c r="F9" s="2">
        <v>10</v>
      </c>
      <c r="G9" s="2">
        <v>1</v>
      </c>
      <c r="H9" s="2">
        <f t="shared" si="0"/>
        <v>0</v>
      </c>
      <c r="I9" s="9">
        <f t="shared" si="1"/>
        <v>5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3">
        <v>0</v>
      </c>
    </row>
    <row r="10" spans="1:24" x14ac:dyDescent="0.25">
      <c r="A10" s="19" t="s">
        <v>117</v>
      </c>
      <c r="B10" s="1" t="s">
        <v>26</v>
      </c>
      <c r="C10" s="2" t="s">
        <v>4</v>
      </c>
      <c r="D10" s="2" t="s">
        <v>100</v>
      </c>
      <c r="E10" s="2">
        <f>VLOOKUP(C10,Resources!$A$2:$B$5,2,FALSE)</f>
        <v>0.5</v>
      </c>
      <c r="F10" s="2">
        <v>8</v>
      </c>
      <c r="G10" s="2">
        <v>1.5</v>
      </c>
      <c r="H10" s="2">
        <f t="shared" si="0"/>
        <v>0</v>
      </c>
      <c r="I10" s="9">
        <f t="shared" si="1"/>
        <v>6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3">
        <v>0</v>
      </c>
    </row>
    <row r="11" spans="1:24" x14ac:dyDescent="0.25">
      <c r="A11" s="19" t="s">
        <v>117</v>
      </c>
      <c r="B11" s="1" t="s">
        <v>26</v>
      </c>
      <c r="C11" s="2" t="s">
        <v>4</v>
      </c>
      <c r="D11" s="2" t="s">
        <v>101</v>
      </c>
      <c r="E11" s="2">
        <f>VLOOKUP(C11,Resources!$A$2:$B$5,2,FALSE)</f>
        <v>0.5</v>
      </c>
      <c r="F11" s="2">
        <v>8</v>
      </c>
      <c r="G11" s="2">
        <v>1.5</v>
      </c>
      <c r="H11" s="2">
        <f t="shared" si="0"/>
        <v>0</v>
      </c>
      <c r="I11" s="9">
        <f t="shared" si="1"/>
        <v>6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3">
        <v>0</v>
      </c>
    </row>
    <row r="12" spans="1:24" x14ac:dyDescent="0.25">
      <c r="A12" s="19" t="s">
        <v>117</v>
      </c>
      <c r="B12" s="1" t="s">
        <v>26</v>
      </c>
      <c r="C12" s="2" t="s">
        <v>4</v>
      </c>
      <c r="D12" s="2" t="s">
        <v>106</v>
      </c>
      <c r="E12" s="2">
        <f>VLOOKUP(C12,Resources!$A$2:$B$5,2,FALSE)</f>
        <v>0.5</v>
      </c>
      <c r="F12" s="2">
        <v>8</v>
      </c>
      <c r="G12" s="2">
        <v>1.5</v>
      </c>
      <c r="H12" s="2">
        <f t="shared" si="0"/>
        <v>0</v>
      </c>
      <c r="I12" s="9">
        <f t="shared" si="1"/>
        <v>6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3">
        <v>0</v>
      </c>
    </row>
    <row r="13" spans="1:24" x14ac:dyDescent="0.25">
      <c r="A13" s="19" t="s">
        <v>117</v>
      </c>
      <c r="B13" s="1" t="s">
        <v>26</v>
      </c>
      <c r="C13" s="2" t="s">
        <v>4</v>
      </c>
      <c r="D13" s="2" t="s">
        <v>109</v>
      </c>
      <c r="E13" s="2">
        <f>VLOOKUP(C13,Resources!$A$2:$B$5,2,FALSE)</f>
        <v>0.5</v>
      </c>
      <c r="F13" s="2">
        <v>8</v>
      </c>
      <c r="G13" s="2">
        <v>1.5</v>
      </c>
      <c r="H13" s="2">
        <f t="shared" si="0"/>
        <v>0</v>
      </c>
      <c r="I13" s="9">
        <f t="shared" si="1"/>
        <v>6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3">
        <v>0</v>
      </c>
    </row>
    <row r="14" spans="1:24" x14ac:dyDescent="0.25">
      <c r="A14" s="19" t="s">
        <v>117</v>
      </c>
      <c r="B14" s="1" t="s">
        <v>26</v>
      </c>
      <c r="C14" s="2" t="s">
        <v>4</v>
      </c>
      <c r="D14" s="2" t="s">
        <v>110</v>
      </c>
      <c r="E14" s="2">
        <f>VLOOKUP(C14,Resources!$A$2:$B$5,2,FALSE)</f>
        <v>0.5</v>
      </c>
      <c r="F14" s="2">
        <v>8</v>
      </c>
      <c r="G14" s="2">
        <v>1.5</v>
      </c>
      <c r="H14" s="2">
        <f t="shared" si="0"/>
        <v>0</v>
      </c>
      <c r="I14" s="9">
        <f t="shared" si="1"/>
        <v>6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3">
        <v>0</v>
      </c>
    </row>
    <row r="15" spans="1:24" x14ac:dyDescent="0.25">
      <c r="A15" s="19" t="s">
        <v>117</v>
      </c>
      <c r="B15" s="1" t="s">
        <v>26</v>
      </c>
      <c r="C15" s="2" t="s">
        <v>4</v>
      </c>
      <c r="D15" s="2" t="s">
        <v>112</v>
      </c>
      <c r="E15" s="2">
        <f>VLOOKUP(C15,Resources!$A$2:$B$5,2,FALSE)</f>
        <v>0.5</v>
      </c>
      <c r="F15" s="2">
        <v>8</v>
      </c>
      <c r="G15" s="2">
        <v>1.5</v>
      </c>
      <c r="H15" s="2">
        <f t="shared" si="0"/>
        <v>0</v>
      </c>
      <c r="I15" s="9">
        <f t="shared" si="1"/>
        <v>6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3">
        <v>0</v>
      </c>
    </row>
    <row r="16" spans="1:24" x14ac:dyDescent="0.25">
      <c r="A16" s="19" t="s">
        <v>117</v>
      </c>
      <c r="B16" s="1" t="s">
        <v>26</v>
      </c>
      <c r="C16" s="2" t="s">
        <v>4</v>
      </c>
      <c r="D16" s="2" t="s">
        <v>113</v>
      </c>
      <c r="E16" s="2">
        <f>VLOOKUP(C16,Resources!$A$2:$B$5,2,FALSE)</f>
        <v>0.5</v>
      </c>
      <c r="F16" s="2">
        <v>8</v>
      </c>
      <c r="G16" s="2">
        <v>1.5</v>
      </c>
      <c r="H16" s="2">
        <f t="shared" si="0"/>
        <v>0</v>
      </c>
      <c r="I16" s="9">
        <f t="shared" si="1"/>
        <v>6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3">
        <v>0</v>
      </c>
    </row>
    <row r="17" spans="1:24" x14ac:dyDescent="0.25">
      <c r="A17" s="19" t="s">
        <v>117</v>
      </c>
      <c r="B17" s="1" t="s">
        <v>26</v>
      </c>
      <c r="C17" s="2" t="s">
        <v>4</v>
      </c>
      <c r="D17" s="2" t="s">
        <v>115</v>
      </c>
      <c r="E17" s="2">
        <f>VLOOKUP(C17,Resources!$A$2:$B$5,2,FALSE)</f>
        <v>0.5</v>
      </c>
      <c r="F17" s="2">
        <v>8</v>
      </c>
      <c r="G17" s="2">
        <v>1.5</v>
      </c>
      <c r="H17" s="2">
        <f t="shared" si="0"/>
        <v>0</v>
      </c>
      <c r="I17" s="9">
        <f t="shared" si="1"/>
        <v>6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3">
        <v>0</v>
      </c>
    </row>
    <row r="18" spans="1:24" x14ac:dyDescent="0.25">
      <c r="A18" s="19" t="s">
        <v>117</v>
      </c>
      <c r="B18" s="1" t="s">
        <v>29</v>
      </c>
      <c r="C18" s="2" t="s">
        <v>4</v>
      </c>
      <c r="D18" s="2"/>
      <c r="E18" s="2">
        <f>VLOOKUP(C18,Resources!$A$2:$B$5,2,FALSE)</f>
        <v>0.5</v>
      </c>
      <c r="F18" s="2">
        <v>4</v>
      </c>
      <c r="G18" s="2">
        <v>3</v>
      </c>
      <c r="H18" s="2">
        <f t="shared" si="0"/>
        <v>0</v>
      </c>
      <c r="I18" s="9">
        <f t="shared" si="1"/>
        <v>6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3">
        <v>0</v>
      </c>
    </row>
    <row r="19" spans="1:24" x14ac:dyDescent="0.25">
      <c r="A19" s="19" t="s">
        <v>117</v>
      </c>
      <c r="B19" s="1" t="s">
        <v>9</v>
      </c>
      <c r="C19" s="2" t="s">
        <v>4</v>
      </c>
      <c r="D19" s="2"/>
      <c r="E19" s="2">
        <f>VLOOKUP(C19,Resources!$A$2:$B$5,2,FALSE)</f>
        <v>0.5</v>
      </c>
      <c r="F19" s="2">
        <v>6</v>
      </c>
      <c r="G19" s="2">
        <v>2</v>
      </c>
      <c r="H19" s="2">
        <f t="shared" si="0"/>
        <v>0</v>
      </c>
      <c r="I19" s="9">
        <f t="shared" si="1"/>
        <v>6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3">
        <v>0</v>
      </c>
    </row>
    <row r="20" spans="1:24" x14ac:dyDescent="0.25">
      <c r="A20" s="19" t="s">
        <v>117</v>
      </c>
      <c r="B20" s="1" t="s">
        <v>12</v>
      </c>
      <c r="C20" s="2" t="s">
        <v>4</v>
      </c>
      <c r="D20" s="2" t="s">
        <v>99</v>
      </c>
      <c r="E20" s="2">
        <f>VLOOKUP(C20,Resources!$A$2:$B$5,2,FALSE)</f>
        <v>0.5</v>
      </c>
      <c r="F20" s="2">
        <v>4</v>
      </c>
      <c r="G20" s="2">
        <v>5</v>
      </c>
      <c r="H20" s="2">
        <f t="shared" si="0"/>
        <v>0</v>
      </c>
      <c r="I20" s="9">
        <f t="shared" si="1"/>
        <v>10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3">
        <v>0</v>
      </c>
    </row>
    <row r="21" spans="1:24" x14ac:dyDescent="0.25">
      <c r="A21" s="19" t="s">
        <v>117</v>
      </c>
      <c r="B21" s="1" t="s">
        <v>23</v>
      </c>
      <c r="C21" s="2" t="s">
        <v>4</v>
      </c>
      <c r="D21" s="2"/>
      <c r="E21" s="2">
        <f>VLOOKUP(C21,Resources!$A$2:$B$5,2,FALSE)</f>
        <v>0.5</v>
      </c>
      <c r="F21" s="2">
        <v>3</v>
      </c>
      <c r="G21" s="2">
        <v>7</v>
      </c>
      <c r="H21" s="2">
        <f t="shared" si="0"/>
        <v>0</v>
      </c>
      <c r="I21" s="9">
        <f t="shared" si="1"/>
        <v>10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3">
        <v>0</v>
      </c>
    </row>
    <row r="22" spans="1:24" x14ac:dyDescent="0.25">
      <c r="A22" s="19" t="s">
        <v>117</v>
      </c>
      <c r="B22" s="1" t="s">
        <v>30</v>
      </c>
      <c r="C22" s="2" t="s">
        <v>4</v>
      </c>
      <c r="D22" s="2"/>
      <c r="E22" s="2">
        <f>VLOOKUP(C22,Resources!$A$2:$B$5,2,FALSE)</f>
        <v>0.5</v>
      </c>
      <c r="F22" s="2">
        <v>10</v>
      </c>
      <c r="G22" s="2">
        <v>2</v>
      </c>
      <c r="H22" s="2">
        <f t="shared" si="0"/>
        <v>0</v>
      </c>
      <c r="I22" s="9">
        <f t="shared" si="1"/>
        <v>10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3">
        <v>0</v>
      </c>
    </row>
    <row r="23" spans="1:24" x14ac:dyDescent="0.25">
      <c r="A23" s="19" t="s">
        <v>117</v>
      </c>
      <c r="B23" s="1" t="s">
        <v>33</v>
      </c>
      <c r="C23" s="2" t="s">
        <v>4</v>
      </c>
      <c r="D23" s="2"/>
      <c r="E23" s="2">
        <f>VLOOKUP(C23,Resources!$A$2:$B$5,2,FALSE)</f>
        <v>0.5</v>
      </c>
      <c r="F23" s="2">
        <v>3</v>
      </c>
      <c r="G23" s="2">
        <v>7</v>
      </c>
      <c r="H23" s="2">
        <f t="shared" si="0"/>
        <v>0</v>
      </c>
      <c r="I23" s="9">
        <f t="shared" si="1"/>
        <v>10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3">
        <v>0</v>
      </c>
    </row>
    <row r="24" spans="1:24" x14ac:dyDescent="0.25">
      <c r="A24" s="19" t="s">
        <v>117</v>
      </c>
      <c r="B24" s="1" t="s">
        <v>26</v>
      </c>
      <c r="C24" s="2" t="s">
        <v>4</v>
      </c>
      <c r="D24" s="2" t="s">
        <v>102</v>
      </c>
      <c r="E24" s="2">
        <f>VLOOKUP(C24,Resources!$A$2:$B$5,2,FALSE)</f>
        <v>0.5</v>
      </c>
      <c r="F24" s="2">
        <v>8</v>
      </c>
      <c r="G24" s="2">
        <v>3</v>
      </c>
      <c r="H24" s="2">
        <f t="shared" si="0"/>
        <v>0</v>
      </c>
      <c r="I24" s="9">
        <f t="shared" si="1"/>
        <v>12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3">
        <v>0</v>
      </c>
    </row>
    <row r="25" spans="1:24" x14ac:dyDescent="0.25">
      <c r="A25" s="19" t="s">
        <v>117</v>
      </c>
      <c r="B25" s="1" t="s">
        <v>26</v>
      </c>
      <c r="C25" s="2" t="s">
        <v>4</v>
      </c>
      <c r="D25" s="2" t="s">
        <v>104</v>
      </c>
      <c r="E25" s="2">
        <f>VLOOKUP(C25,Resources!$A$2:$B$5,2,FALSE)</f>
        <v>0.5</v>
      </c>
      <c r="F25" s="2">
        <v>8</v>
      </c>
      <c r="G25" s="2">
        <v>3</v>
      </c>
      <c r="H25" s="2">
        <f t="shared" si="0"/>
        <v>0</v>
      </c>
      <c r="I25" s="9">
        <f t="shared" si="1"/>
        <v>12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3">
        <v>0</v>
      </c>
    </row>
    <row r="26" spans="1:24" x14ac:dyDescent="0.25">
      <c r="A26" s="19" t="s">
        <v>117</v>
      </c>
      <c r="B26" s="1" t="s">
        <v>26</v>
      </c>
      <c r="C26" s="2" t="s">
        <v>4</v>
      </c>
      <c r="D26" s="2" t="s">
        <v>107</v>
      </c>
      <c r="E26" s="2">
        <f>VLOOKUP(C26,Resources!$A$2:$B$5,2,FALSE)</f>
        <v>0.5</v>
      </c>
      <c r="F26" s="2">
        <v>8</v>
      </c>
      <c r="G26" s="2">
        <v>3</v>
      </c>
      <c r="H26" s="2">
        <f t="shared" si="0"/>
        <v>0</v>
      </c>
      <c r="I26" s="9">
        <f t="shared" si="1"/>
        <v>12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3">
        <v>0</v>
      </c>
    </row>
    <row r="27" spans="1:24" x14ac:dyDescent="0.25">
      <c r="A27" s="19" t="s">
        <v>117</v>
      </c>
      <c r="B27" s="1" t="s">
        <v>26</v>
      </c>
      <c r="C27" s="2" t="s">
        <v>4</v>
      </c>
      <c r="D27" s="2" t="s">
        <v>108</v>
      </c>
      <c r="E27" s="2">
        <f>VLOOKUP(C27,Resources!$A$2:$B$5,2,FALSE)</f>
        <v>0.5</v>
      </c>
      <c r="F27" s="2">
        <v>8</v>
      </c>
      <c r="G27" s="2">
        <v>3</v>
      </c>
      <c r="H27" s="2">
        <f t="shared" si="0"/>
        <v>0</v>
      </c>
      <c r="I27" s="9">
        <f t="shared" si="1"/>
        <v>12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3">
        <v>0</v>
      </c>
    </row>
    <row r="28" spans="1:24" x14ac:dyDescent="0.25">
      <c r="A28" s="19" t="s">
        <v>117</v>
      </c>
      <c r="B28" s="1" t="s">
        <v>14</v>
      </c>
      <c r="C28" s="2" t="s">
        <v>4</v>
      </c>
      <c r="D28" s="2" t="s">
        <v>99</v>
      </c>
      <c r="E28" s="2">
        <f>VLOOKUP(C28,Resources!$A$2:$B$5,2,FALSE)</f>
        <v>0.5</v>
      </c>
      <c r="F28" s="2">
        <v>10</v>
      </c>
      <c r="G28" s="2">
        <v>3</v>
      </c>
      <c r="H28" s="2">
        <f t="shared" si="0"/>
        <v>0</v>
      </c>
      <c r="I28" s="9">
        <f t="shared" si="1"/>
        <v>15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3">
        <v>0</v>
      </c>
    </row>
    <row r="29" spans="1:24" x14ac:dyDescent="0.25">
      <c r="A29" s="19" t="s">
        <v>117</v>
      </c>
      <c r="B29" s="1" t="s">
        <v>22</v>
      </c>
      <c r="C29" s="2" t="s">
        <v>4</v>
      </c>
      <c r="D29" s="2" t="s">
        <v>99</v>
      </c>
      <c r="E29" s="2">
        <f>VLOOKUP(C29,Resources!$A$2:$B$5,2,FALSE)</f>
        <v>0.5</v>
      </c>
      <c r="F29" s="2">
        <v>10</v>
      </c>
      <c r="G29" s="2">
        <v>3</v>
      </c>
      <c r="H29" s="2">
        <f t="shared" si="0"/>
        <v>0</v>
      </c>
      <c r="I29" s="9">
        <f t="shared" si="1"/>
        <v>15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3">
        <v>0</v>
      </c>
    </row>
    <row r="30" spans="1:24" x14ac:dyDescent="0.25">
      <c r="A30" s="19" t="s">
        <v>117</v>
      </c>
      <c r="B30" s="1" t="s">
        <v>24</v>
      </c>
      <c r="C30" s="2" t="s">
        <v>4</v>
      </c>
      <c r="D30" s="2"/>
      <c r="E30" s="2">
        <f>VLOOKUP(C30,Resources!$A$2:$B$5,2,FALSE)</f>
        <v>0.5</v>
      </c>
      <c r="F30" s="2">
        <v>3</v>
      </c>
      <c r="G30" s="2">
        <v>10</v>
      </c>
      <c r="H30" s="2">
        <f t="shared" si="0"/>
        <v>0</v>
      </c>
      <c r="I30" s="9">
        <f t="shared" si="1"/>
        <v>15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3">
        <v>0</v>
      </c>
    </row>
    <row r="31" spans="1:24" x14ac:dyDescent="0.25">
      <c r="A31" s="19" t="s">
        <v>117</v>
      </c>
      <c r="B31" s="1" t="s">
        <v>24</v>
      </c>
      <c r="C31" s="2" t="s">
        <v>4</v>
      </c>
      <c r="D31" s="2" t="s">
        <v>99</v>
      </c>
      <c r="E31" s="2">
        <f>VLOOKUP(C31,Resources!$A$2:$B$5,2,FALSE)</f>
        <v>0.5</v>
      </c>
      <c r="F31" s="2">
        <v>3</v>
      </c>
      <c r="G31" s="2">
        <v>10</v>
      </c>
      <c r="H31" s="2">
        <f t="shared" si="0"/>
        <v>0</v>
      </c>
      <c r="I31" s="9">
        <f t="shared" si="1"/>
        <v>15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3">
        <v>0</v>
      </c>
    </row>
    <row r="32" spans="1:24" x14ac:dyDescent="0.25">
      <c r="A32" s="19" t="s">
        <v>117</v>
      </c>
      <c r="B32" s="1" t="s">
        <v>17</v>
      </c>
      <c r="C32" s="2" t="s">
        <v>4</v>
      </c>
      <c r="D32" s="2"/>
      <c r="E32" s="2">
        <f>VLOOKUP(C32,Resources!$A$2:$B$5,2,FALSE)</f>
        <v>0.5</v>
      </c>
      <c r="F32" s="2">
        <v>10</v>
      </c>
      <c r="G32" s="2">
        <v>3</v>
      </c>
      <c r="H32" s="2">
        <f t="shared" si="0"/>
        <v>0</v>
      </c>
      <c r="I32" s="9">
        <f t="shared" si="1"/>
        <v>15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3">
        <v>0</v>
      </c>
    </row>
    <row r="33" spans="1:24" x14ac:dyDescent="0.25">
      <c r="A33" s="19" t="s">
        <v>117</v>
      </c>
      <c r="B33" s="1" t="s">
        <v>32</v>
      </c>
      <c r="C33" s="2" t="s">
        <v>4</v>
      </c>
      <c r="D33" s="2"/>
      <c r="E33" s="2">
        <f>VLOOKUP(C33,Resources!$A$2:$B$5,2,FALSE)</f>
        <v>0.5</v>
      </c>
      <c r="F33" s="2">
        <v>6</v>
      </c>
      <c r="G33" s="2">
        <v>6</v>
      </c>
      <c r="H33" s="2">
        <f t="shared" si="0"/>
        <v>0</v>
      </c>
      <c r="I33" s="9">
        <f t="shared" si="1"/>
        <v>18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3">
        <v>0</v>
      </c>
    </row>
    <row r="34" spans="1:24" x14ac:dyDescent="0.25">
      <c r="A34" s="19" t="s">
        <v>117</v>
      </c>
      <c r="B34" s="1" t="s">
        <v>26</v>
      </c>
      <c r="C34" s="2" t="s">
        <v>4</v>
      </c>
      <c r="D34" s="2" t="s">
        <v>103</v>
      </c>
      <c r="E34" s="2">
        <f>VLOOKUP(C34,Resources!$A$2:$B$5,2,FALSE)</f>
        <v>0.5</v>
      </c>
      <c r="F34" s="2">
        <v>8</v>
      </c>
      <c r="G34" s="2">
        <v>5</v>
      </c>
      <c r="H34" s="2">
        <f t="shared" si="0"/>
        <v>0</v>
      </c>
      <c r="I34" s="9">
        <f t="shared" si="1"/>
        <v>20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3">
        <v>0</v>
      </c>
    </row>
    <row r="35" spans="1:24" x14ac:dyDescent="0.25">
      <c r="A35" s="19" t="s">
        <v>117</v>
      </c>
      <c r="B35" s="1" t="s">
        <v>26</v>
      </c>
      <c r="C35" s="2" t="s">
        <v>4</v>
      </c>
      <c r="D35" s="2" t="s">
        <v>105</v>
      </c>
      <c r="E35" s="2">
        <f>VLOOKUP(C35,Resources!$A$2:$B$5,2,FALSE)</f>
        <v>0.5</v>
      </c>
      <c r="F35" s="2">
        <v>8</v>
      </c>
      <c r="G35" s="2">
        <v>5</v>
      </c>
      <c r="H35" s="2">
        <f t="shared" si="0"/>
        <v>0</v>
      </c>
      <c r="I35" s="9">
        <f t="shared" si="1"/>
        <v>20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3">
        <v>0</v>
      </c>
    </row>
    <row r="36" spans="1:24" x14ac:dyDescent="0.25">
      <c r="A36" s="19" t="s">
        <v>117</v>
      </c>
      <c r="B36" s="1" t="s">
        <v>79</v>
      </c>
      <c r="C36" s="2" t="s">
        <v>6</v>
      </c>
      <c r="D36" s="2"/>
      <c r="E36" s="2">
        <f>VLOOKUP(C36,Resources!$A$2:$B$5,2,FALSE)</f>
        <v>1</v>
      </c>
      <c r="F36" s="2">
        <v>16</v>
      </c>
      <c r="G36" s="2">
        <v>1</v>
      </c>
      <c r="H36" s="2">
        <f t="shared" ref="H36:H67" si="3">TRUNC(((J36+K36+L36) / 3) + ((M36+N36+O36)/3) + ((P36+Q36+R36)/3) + ((S36+T36+U36)/3) + ((V36+W36+X36)/3))</f>
        <v>4</v>
      </c>
      <c r="I36" s="9">
        <f t="shared" ref="I36:I67" si="4">TRUNC(F36*G36*E36) + H36</f>
        <v>20</v>
      </c>
      <c r="J36" s="2">
        <v>3</v>
      </c>
      <c r="K36" s="2">
        <v>4</v>
      </c>
      <c r="L36" s="2">
        <v>6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3">
        <v>0</v>
      </c>
    </row>
    <row r="37" spans="1:24" x14ac:dyDescent="0.25">
      <c r="A37" s="19" t="s">
        <v>117</v>
      </c>
      <c r="B37" s="1" t="s">
        <v>21</v>
      </c>
      <c r="C37" s="2" t="s">
        <v>4</v>
      </c>
      <c r="D37" s="2"/>
      <c r="E37" s="2">
        <f>VLOOKUP(C37,Resources!$A$2:$B$5,2,FALSE)</f>
        <v>0.5</v>
      </c>
      <c r="F37" s="2">
        <v>6</v>
      </c>
      <c r="G37" s="2">
        <v>7</v>
      </c>
      <c r="H37" s="2">
        <f t="shared" si="3"/>
        <v>0</v>
      </c>
      <c r="I37" s="9">
        <f t="shared" si="4"/>
        <v>21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3">
        <v>0</v>
      </c>
    </row>
    <row r="38" spans="1:24" x14ac:dyDescent="0.25">
      <c r="A38" s="19" t="s">
        <v>117</v>
      </c>
      <c r="B38" s="1" t="s">
        <v>18</v>
      </c>
      <c r="C38" s="2" t="s">
        <v>4</v>
      </c>
      <c r="D38" s="2"/>
      <c r="E38" s="2">
        <f>VLOOKUP(C38,Resources!$A$2:$B$5,2,FALSE)</f>
        <v>0.5</v>
      </c>
      <c r="F38" s="2">
        <v>23</v>
      </c>
      <c r="G38" s="2">
        <v>2</v>
      </c>
      <c r="H38" s="2">
        <f t="shared" si="3"/>
        <v>0</v>
      </c>
      <c r="I38" s="9">
        <f t="shared" si="4"/>
        <v>23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3">
        <v>0</v>
      </c>
    </row>
    <row r="39" spans="1:24" x14ac:dyDescent="0.25">
      <c r="A39" s="19" t="s">
        <v>117</v>
      </c>
      <c r="B39" s="1" t="s">
        <v>26</v>
      </c>
      <c r="C39" s="2" t="s">
        <v>4</v>
      </c>
      <c r="D39" s="2" t="s">
        <v>111</v>
      </c>
      <c r="E39" s="2">
        <f>VLOOKUP(C39,Resources!$A$2:$B$5,2,FALSE)</f>
        <v>0.5</v>
      </c>
      <c r="F39" s="2">
        <v>8</v>
      </c>
      <c r="G39" s="2">
        <v>6</v>
      </c>
      <c r="H39" s="2">
        <f t="shared" si="3"/>
        <v>0</v>
      </c>
      <c r="I39" s="9">
        <f t="shared" si="4"/>
        <v>24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3">
        <v>0</v>
      </c>
    </row>
    <row r="40" spans="1:24" x14ac:dyDescent="0.25">
      <c r="A40" s="19" t="s">
        <v>117</v>
      </c>
      <c r="B40" s="1" t="s">
        <v>37</v>
      </c>
      <c r="C40" s="2" t="s">
        <v>4</v>
      </c>
      <c r="D40" s="2"/>
      <c r="E40" s="2">
        <f>VLOOKUP(C40,Resources!$A$2:$B$5,2,FALSE)</f>
        <v>0.5</v>
      </c>
      <c r="F40" s="2">
        <v>12</v>
      </c>
      <c r="G40" s="2">
        <v>4</v>
      </c>
      <c r="H40" s="2">
        <f t="shared" si="3"/>
        <v>0</v>
      </c>
      <c r="I40" s="9">
        <f t="shared" si="4"/>
        <v>24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3">
        <v>0</v>
      </c>
    </row>
    <row r="41" spans="1:24" x14ac:dyDescent="0.25">
      <c r="A41" s="19" t="s">
        <v>117</v>
      </c>
      <c r="B41" s="1" t="s">
        <v>16</v>
      </c>
      <c r="C41" s="2" t="s">
        <v>4</v>
      </c>
      <c r="D41" s="2"/>
      <c r="E41" s="2">
        <f>VLOOKUP(C41,Resources!$A$2:$B$5,2,FALSE)</f>
        <v>0.5</v>
      </c>
      <c r="F41" s="2">
        <v>10</v>
      </c>
      <c r="G41" s="2">
        <v>5</v>
      </c>
      <c r="H41" s="2">
        <f t="shared" si="3"/>
        <v>0</v>
      </c>
      <c r="I41" s="9">
        <f t="shared" si="4"/>
        <v>25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3">
        <v>0</v>
      </c>
    </row>
    <row r="42" spans="1:24" x14ac:dyDescent="0.25">
      <c r="A42" s="19" t="s">
        <v>117</v>
      </c>
      <c r="B42" s="1" t="s">
        <v>11</v>
      </c>
      <c r="C42" s="2" t="s">
        <v>4</v>
      </c>
      <c r="D42" s="2"/>
      <c r="E42" s="2">
        <f>VLOOKUP(C42,Resources!$A$2:$B$5,2,FALSE)</f>
        <v>0.5</v>
      </c>
      <c r="F42" s="2">
        <v>10</v>
      </c>
      <c r="G42" s="2">
        <v>6</v>
      </c>
      <c r="H42" s="2">
        <f t="shared" si="3"/>
        <v>0</v>
      </c>
      <c r="I42" s="9">
        <f t="shared" si="4"/>
        <v>30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3">
        <v>0</v>
      </c>
    </row>
    <row r="43" spans="1:24" x14ac:dyDescent="0.25">
      <c r="A43" s="19" t="s">
        <v>117</v>
      </c>
      <c r="B43" s="1" t="s">
        <v>20</v>
      </c>
      <c r="C43" s="2" t="s">
        <v>4</v>
      </c>
      <c r="D43" s="2"/>
      <c r="E43" s="2">
        <f>VLOOKUP(C43,Resources!$A$2:$B$5,2,FALSE)</f>
        <v>0.5</v>
      </c>
      <c r="F43" s="2">
        <v>10</v>
      </c>
      <c r="G43" s="2">
        <v>6</v>
      </c>
      <c r="H43" s="2">
        <f t="shared" si="3"/>
        <v>0</v>
      </c>
      <c r="I43" s="9">
        <f t="shared" si="4"/>
        <v>30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3">
        <v>0</v>
      </c>
    </row>
    <row r="44" spans="1:24" x14ac:dyDescent="0.25">
      <c r="A44" s="19" t="s">
        <v>117</v>
      </c>
      <c r="B44" s="1" t="s">
        <v>35</v>
      </c>
      <c r="C44" s="2" t="s">
        <v>4</v>
      </c>
      <c r="D44" s="2"/>
      <c r="E44" s="2">
        <f>VLOOKUP(C44,Resources!$A$2:$B$5,2,FALSE)</f>
        <v>0.5</v>
      </c>
      <c r="F44" s="2">
        <v>20</v>
      </c>
      <c r="G44" s="2">
        <v>3</v>
      </c>
      <c r="H44" s="2">
        <f t="shared" si="3"/>
        <v>0</v>
      </c>
      <c r="I44" s="9">
        <f t="shared" si="4"/>
        <v>30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3">
        <v>0</v>
      </c>
    </row>
    <row r="45" spans="1:24" x14ac:dyDescent="0.25">
      <c r="A45" s="19" t="s">
        <v>117</v>
      </c>
      <c r="B45" s="1" t="s">
        <v>31</v>
      </c>
      <c r="C45" s="2" t="s">
        <v>4</v>
      </c>
      <c r="D45" s="2"/>
      <c r="E45" s="2">
        <f>VLOOKUP(C45,Resources!$A$2:$B$5,2,FALSE)</f>
        <v>0.5</v>
      </c>
      <c r="F45" s="2">
        <v>20</v>
      </c>
      <c r="G45" s="2">
        <v>3</v>
      </c>
      <c r="H45" s="2">
        <f t="shared" si="3"/>
        <v>0</v>
      </c>
      <c r="I45" s="9">
        <f t="shared" si="4"/>
        <v>30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3">
        <v>0</v>
      </c>
    </row>
    <row r="46" spans="1:24" x14ac:dyDescent="0.25">
      <c r="A46" s="19" t="s">
        <v>117</v>
      </c>
      <c r="B46" s="1" t="s">
        <v>60</v>
      </c>
      <c r="C46" s="2" t="s">
        <v>6</v>
      </c>
      <c r="D46" s="2"/>
      <c r="E46" s="2">
        <f>VLOOKUP(C46,Resources!$A$2:$B$5,2,FALSE)</f>
        <v>1</v>
      </c>
      <c r="F46" s="2">
        <v>20</v>
      </c>
      <c r="G46" s="2">
        <v>1</v>
      </c>
      <c r="H46" s="2">
        <f t="shared" si="3"/>
        <v>13</v>
      </c>
      <c r="I46" s="9">
        <f t="shared" si="4"/>
        <v>33</v>
      </c>
      <c r="J46" s="2">
        <v>3</v>
      </c>
      <c r="K46" s="2">
        <v>5</v>
      </c>
      <c r="L46" s="2">
        <v>7</v>
      </c>
      <c r="M46" s="2">
        <v>5</v>
      </c>
      <c r="N46" s="2">
        <v>8</v>
      </c>
      <c r="O46" s="2">
        <v>12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3">
        <v>0</v>
      </c>
    </row>
    <row r="47" spans="1:24" x14ac:dyDescent="0.25">
      <c r="A47" s="19" t="s">
        <v>117</v>
      </c>
      <c r="B47" s="1" t="s">
        <v>18</v>
      </c>
      <c r="C47" s="2" t="s">
        <v>4</v>
      </c>
      <c r="D47" s="2" t="s">
        <v>99</v>
      </c>
      <c r="E47" s="2">
        <f>VLOOKUP(C47,Resources!$A$2:$B$5,2,FALSE)</f>
        <v>0.5</v>
      </c>
      <c r="F47" s="2">
        <v>23</v>
      </c>
      <c r="G47" s="2">
        <v>3</v>
      </c>
      <c r="H47" s="2">
        <f t="shared" si="3"/>
        <v>0</v>
      </c>
      <c r="I47" s="9">
        <f t="shared" si="4"/>
        <v>34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3">
        <v>0</v>
      </c>
    </row>
    <row r="48" spans="1:24" x14ac:dyDescent="0.25">
      <c r="A48" s="19" t="s">
        <v>117</v>
      </c>
      <c r="B48" s="1" t="s">
        <v>58</v>
      </c>
      <c r="C48" s="2" t="s">
        <v>6</v>
      </c>
      <c r="D48" s="2"/>
      <c r="E48" s="2">
        <f>VLOOKUP(C48,Resources!$A$2:$B$5,2,FALSE)</f>
        <v>1</v>
      </c>
      <c r="F48" s="2">
        <v>16</v>
      </c>
      <c r="G48" s="2">
        <v>2</v>
      </c>
      <c r="H48" s="2">
        <f t="shared" si="3"/>
        <v>2</v>
      </c>
      <c r="I48" s="9">
        <f t="shared" si="4"/>
        <v>34</v>
      </c>
      <c r="J48" s="2">
        <v>2</v>
      </c>
      <c r="K48" s="2">
        <v>2</v>
      </c>
      <c r="L48" s="2">
        <v>3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3">
        <v>0</v>
      </c>
    </row>
    <row r="49" spans="1:24" x14ac:dyDescent="0.25">
      <c r="A49" s="19" t="s">
        <v>117</v>
      </c>
      <c r="B49" s="1" t="s">
        <v>45</v>
      </c>
      <c r="C49" s="2" t="s">
        <v>4</v>
      </c>
      <c r="D49" s="2"/>
      <c r="E49" s="2">
        <f>VLOOKUP(C49,Resources!$A$2:$B$5,2,FALSE)</f>
        <v>0.5</v>
      </c>
      <c r="F49" s="2">
        <v>10</v>
      </c>
      <c r="G49" s="2">
        <v>7</v>
      </c>
      <c r="H49" s="2">
        <f t="shared" si="3"/>
        <v>0</v>
      </c>
      <c r="I49" s="9">
        <f t="shared" si="4"/>
        <v>35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3">
        <v>0</v>
      </c>
    </row>
    <row r="50" spans="1:24" x14ac:dyDescent="0.25">
      <c r="A50" s="19" t="s">
        <v>117</v>
      </c>
      <c r="B50" s="1" t="s">
        <v>37</v>
      </c>
      <c r="C50" s="2" t="s">
        <v>4</v>
      </c>
      <c r="D50" s="2" t="s">
        <v>99</v>
      </c>
      <c r="E50" s="2">
        <f>VLOOKUP(C50,Resources!$A$2:$B$5,2,FALSE)</f>
        <v>0.5</v>
      </c>
      <c r="F50" s="2">
        <v>12</v>
      </c>
      <c r="G50" s="2">
        <v>6</v>
      </c>
      <c r="H50" s="2">
        <f t="shared" si="3"/>
        <v>0</v>
      </c>
      <c r="I50" s="9">
        <f t="shared" si="4"/>
        <v>36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3">
        <v>0</v>
      </c>
    </row>
    <row r="51" spans="1:24" x14ac:dyDescent="0.25">
      <c r="A51" s="19" t="s">
        <v>117</v>
      </c>
      <c r="B51" s="1" t="s">
        <v>39</v>
      </c>
      <c r="C51" s="2" t="s">
        <v>6</v>
      </c>
      <c r="D51" s="2"/>
      <c r="E51" s="2">
        <f>VLOOKUP(C51,Resources!$A$2:$B$5,2,FALSE)</f>
        <v>1</v>
      </c>
      <c r="F51" s="2">
        <v>10</v>
      </c>
      <c r="G51" s="2">
        <v>3</v>
      </c>
      <c r="H51" s="2">
        <f t="shared" si="3"/>
        <v>9</v>
      </c>
      <c r="I51" s="9">
        <f t="shared" si="4"/>
        <v>39</v>
      </c>
      <c r="J51" s="2">
        <v>2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9</v>
      </c>
      <c r="U51" s="2">
        <v>17</v>
      </c>
      <c r="V51" s="2">
        <v>0</v>
      </c>
      <c r="W51" s="2">
        <v>0</v>
      </c>
      <c r="X51" s="3">
        <v>0</v>
      </c>
    </row>
    <row r="52" spans="1:24" x14ac:dyDescent="0.25">
      <c r="A52" s="19" t="s">
        <v>117</v>
      </c>
      <c r="B52" s="1" t="s">
        <v>35</v>
      </c>
      <c r="C52" s="2" t="s">
        <v>4</v>
      </c>
      <c r="D52" s="2" t="s">
        <v>99</v>
      </c>
      <c r="E52" s="2">
        <f>VLOOKUP(C52,Resources!$A$2:$B$5,2,FALSE)</f>
        <v>0.5</v>
      </c>
      <c r="F52" s="2">
        <v>20</v>
      </c>
      <c r="G52" s="2">
        <v>4</v>
      </c>
      <c r="H52" s="2">
        <f t="shared" si="3"/>
        <v>0</v>
      </c>
      <c r="I52" s="9">
        <f t="shared" si="4"/>
        <v>40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3">
        <v>0</v>
      </c>
    </row>
    <row r="53" spans="1:24" x14ac:dyDescent="0.25">
      <c r="A53" s="19" t="s">
        <v>117</v>
      </c>
      <c r="B53" s="1" t="s">
        <v>51</v>
      </c>
      <c r="C53" s="2" t="s">
        <v>4</v>
      </c>
      <c r="D53" s="2"/>
      <c r="E53" s="2">
        <f>VLOOKUP(C53,Resources!$A$2:$B$5,2,FALSE)</f>
        <v>0.5</v>
      </c>
      <c r="F53" s="2">
        <v>10</v>
      </c>
      <c r="G53" s="2">
        <v>8</v>
      </c>
      <c r="H53" s="2">
        <f t="shared" si="3"/>
        <v>0</v>
      </c>
      <c r="I53" s="9">
        <f t="shared" si="4"/>
        <v>40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3">
        <v>0</v>
      </c>
    </row>
    <row r="54" spans="1:24" x14ac:dyDescent="0.25">
      <c r="A54" s="19" t="s">
        <v>117</v>
      </c>
      <c r="B54" s="1" t="s">
        <v>36</v>
      </c>
      <c r="C54" s="2" t="s">
        <v>4</v>
      </c>
      <c r="D54" s="2"/>
      <c r="E54" s="2">
        <f>VLOOKUP(C54,Resources!$A$2:$B$5,2,FALSE)</f>
        <v>0.5</v>
      </c>
      <c r="F54" s="2">
        <v>20</v>
      </c>
      <c r="G54" s="2">
        <v>4</v>
      </c>
      <c r="H54" s="2">
        <f t="shared" si="3"/>
        <v>0</v>
      </c>
      <c r="I54" s="9">
        <f t="shared" si="4"/>
        <v>40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3">
        <v>0</v>
      </c>
    </row>
    <row r="55" spans="1:24" x14ac:dyDescent="0.25">
      <c r="A55" s="19" t="s">
        <v>117</v>
      </c>
      <c r="B55" s="1" t="s">
        <v>86</v>
      </c>
      <c r="C55" s="2" t="s">
        <v>5</v>
      </c>
      <c r="D55" s="2"/>
      <c r="E55" s="2">
        <f>VLOOKUP(C55,Resources!$A$2:$B$5,2,FALSE)</f>
        <v>2</v>
      </c>
      <c r="F55" s="2">
        <v>20</v>
      </c>
      <c r="G55" s="2">
        <v>1</v>
      </c>
      <c r="H55" s="2">
        <f t="shared" si="3"/>
        <v>3</v>
      </c>
      <c r="I55" s="9">
        <f t="shared" si="4"/>
        <v>43</v>
      </c>
      <c r="J55" s="2">
        <v>2.5</v>
      </c>
      <c r="K55" s="2">
        <v>3</v>
      </c>
      <c r="L55" s="2">
        <v>4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3">
        <v>0</v>
      </c>
    </row>
    <row r="56" spans="1:24" x14ac:dyDescent="0.25">
      <c r="A56" s="19" t="s">
        <v>117</v>
      </c>
      <c r="B56" s="1" t="s">
        <v>67</v>
      </c>
      <c r="C56" s="2" t="s">
        <v>5</v>
      </c>
      <c r="D56" s="2"/>
      <c r="E56" s="2">
        <f>VLOOKUP(C56,Resources!$A$2:$B$5,2,FALSE)</f>
        <v>2</v>
      </c>
      <c r="F56" s="2">
        <v>10</v>
      </c>
      <c r="G56" s="2">
        <v>1</v>
      </c>
      <c r="H56" s="2">
        <f t="shared" si="3"/>
        <v>23</v>
      </c>
      <c r="I56" s="9">
        <f t="shared" si="4"/>
        <v>43</v>
      </c>
      <c r="J56" s="2">
        <v>9.5</v>
      </c>
      <c r="K56" s="2">
        <v>17</v>
      </c>
      <c r="L56" s="2">
        <v>25.5</v>
      </c>
      <c r="M56" s="2">
        <v>0</v>
      </c>
      <c r="N56" s="2">
        <v>0</v>
      </c>
      <c r="O56" s="2">
        <v>0</v>
      </c>
      <c r="P56" s="2">
        <v>4</v>
      </c>
      <c r="Q56" s="2">
        <v>6</v>
      </c>
      <c r="R56" s="2">
        <v>9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3">
        <v>0</v>
      </c>
    </row>
    <row r="57" spans="1:24" x14ac:dyDescent="0.25">
      <c r="A57" s="19" t="s">
        <v>117</v>
      </c>
      <c r="B57" s="1" t="s">
        <v>78</v>
      </c>
      <c r="C57" s="2" t="s">
        <v>5</v>
      </c>
      <c r="D57" s="2"/>
      <c r="E57" s="2">
        <f>VLOOKUP(C57,Resources!$A$2:$B$5,2,FALSE)</f>
        <v>2</v>
      </c>
      <c r="F57" s="2">
        <v>20</v>
      </c>
      <c r="G57" s="2">
        <v>1</v>
      </c>
      <c r="H57" s="2">
        <f t="shared" si="3"/>
        <v>5</v>
      </c>
      <c r="I57" s="9">
        <f t="shared" si="4"/>
        <v>45</v>
      </c>
      <c r="J57" s="2">
        <v>2</v>
      </c>
      <c r="K57" s="2">
        <v>2</v>
      </c>
      <c r="L57" s="2">
        <v>3</v>
      </c>
      <c r="M57" s="2">
        <v>0</v>
      </c>
      <c r="N57" s="2">
        <v>0</v>
      </c>
      <c r="O57" s="2">
        <v>0</v>
      </c>
      <c r="P57" s="2">
        <v>2</v>
      </c>
      <c r="Q57" s="2">
        <v>3</v>
      </c>
      <c r="R57" s="2">
        <v>4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3">
        <v>0</v>
      </c>
    </row>
    <row r="58" spans="1:24" x14ac:dyDescent="0.25">
      <c r="A58" s="19" t="s">
        <v>117</v>
      </c>
      <c r="B58" s="1" t="s">
        <v>15</v>
      </c>
      <c r="C58" s="2" t="s">
        <v>4</v>
      </c>
      <c r="D58" s="2"/>
      <c r="E58" s="2">
        <f>VLOOKUP(C58,Resources!$A$2:$B$5,2,FALSE)</f>
        <v>0.5</v>
      </c>
      <c r="F58" s="2">
        <v>30</v>
      </c>
      <c r="G58" s="2">
        <v>3</v>
      </c>
      <c r="H58" s="2">
        <f t="shared" si="3"/>
        <v>0</v>
      </c>
      <c r="I58" s="9">
        <f t="shared" si="4"/>
        <v>45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3">
        <v>0</v>
      </c>
    </row>
    <row r="59" spans="1:24" x14ac:dyDescent="0.25">
      <c r="A59" s="19" t="s">
        <v>117</v>
      </c>
      <c r="B59" s="1" t="s">
        <v>38</v>
      </c>
      <c r="C59" s="2" t="s">
        <v>4</v>
      </c>
      <c r="D59" s="2"/>
      <c r="E59" s="2">
        <f>VLOOKUP(C59,Resources!$A$2:$B$5,2,FALSE)</f>
        <v>0.5</v>
      </c>
      <c r="F59" s="2">
        <v>10</v>
      </c>
      <c r="G59" s="2">
        <v>10</v>
      </c>
      <c r="H59" s="2">
        <f t="shared" si="3"/>
        <v>0</v>
      </c>
      <c r="I59" s="9">
        <f t="shared" si="4"/>
        <v>50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3">
        <v>0</v>
      </c>
    </row>
    <row r="60" spans="1:24" x14ac:dyDescent="0.25">
      <c r="A60" s="19" t="s">
        <v>117</v>
      </c>
      <c r="B60" s="1" t="s">
        <v>59</v>
      </c>
      <c r="C60" s="2" t="s">
        <v>6</v>
      </c>
      <c r="D60" s="2"/>
      <c r="E60" s="2">
        <f>VLOOKUP(C60,Resources!$A$2:$B$5,2,FALSE)</f>
        <v>1</v>
      </c>
      <c r="F60" s="2">
        <v>8</v>
      </c>
      <c r="G60" s="2">
        <v>6</v>
      </c>
      <c r="H60" s="2">
        <f t="shared" si="3"/>
        <v>4</v>
      </c>
      <c r="I60" s="9">
        <f t="shared" si="4"/>
        <v>52</v>
      </c>
      <c r="J60" s="2">
        <v>3</v>
      </c>
      <c r="K60" s="2">
        <v>4</v>
      </c>
      <c r="L60" s="2">
        <v>6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3">
        <v>0</v>
      </c>
    </row>
    <row r="61" spans="1:24" x14ac:dyDescent="0.25">
      <c r="A61" s="19" t="s">
        <v>117</v>
      </c>
      <c r="B61" s="1" t="s">
        <v>8</v>
      </c>
      <c r="C61" s="2" t="s">
        <v>4</v>
      </c>
      <c r="D61" s="2"/>
      <c r="E61" s="2">
        <f>VLOOKUP(C61,Resources!$A$2:$B$5,2,FALSE)</f>
        <v>0.5</v>
      </c>
      <c r="F61" s="2">
        <v>14</v>
      </c>
      <c r="G61" s="2">
        <v>8</v>
      </c>
      <c r="H61" s="2">
        <f t="shared" si="3"/>
        <v>0</v>
      </c>
      <c r="I61" s="9">
        <f t="shared" si="4"/>
        <v>56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3">
        <v>0</v>
      </c>
    </row>
    <row r="62" spans="1:24" x14ac:dyDescent="0.25">
      <c r="A62" s="19" t="s">
        <v>117</v>
      </c>
      <c r="B62" s="1" t="s">
        <v>28</v>
      </c>
      <c r="C62" s="2" t="s">
        <v>4</v>
      </c>
      <c r="D62" s="2"/>
      <c r="E62" s="2">
        <f>VLOOKUP(C62,Resources!$A$2:$B$5,2,FALSE)</f>
        <v>0.5</v>
      </c>
      <c r="F62" s="2">
        <v>14</v>
      </c>
      <c r="G62" s="2">
        <v>8</v>
      </c>
      <c r="H62" s="2">
        <f t="shared" si="3"/>
        <v>0</v>
      </c>
      <c r="I62" s="9">
        <f t="shared" si="4"/>
        <v>56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3">
        <v>0</v>
      </c>
    </row>
    <row r="63" spans="1:24" x14ac:dyDescent="0.25">
      <c r="A63" s="19" t="s">
        <v>117</v>
      </c>
      <c r="B63" s="1" t="s">
        <v>34</v>
      </c>
      <c r="C63" s="2" t="s">
        <v>4</v>
      </c>
      <c r="D63" s="2"/>
      <c r="E63" s="2">
        <f>VLOOKUP(C63,Resources!$A$2:$B$5,2,FALSE)</f>
        <v>0.5</v>
      </c>
      <c r="F63" s="2">
        <v>30</v>
      </c>
      <c r="G63" s="2">
        <v>4</v>
      </c>
      <c r="H63" s="2">
        <f t="shared" si="3"/>
        <v>0</v>
      </c>
      <c r="I63" s="9">
        <f t="shared" si="4"/>
        <v>60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3">
        <v>0</v>
      </c>
    </row>
    <row r="64" spans="1:24" x14ac:dyDescent="0.25">
      <c r="A64" s="19" t="s">
        <v>117</v>
      </c>
      <c r="B64" s="1" t="s">
        <v>46</v>
      </c>
      <c r="C64" s="2" t="s">
        <v>5</v>
      </c>
      <c r="D64" s="2"/>
      <c r="E64" s="2">
        <f>VLOOKUP(C64,Resources!$A$2:$B$5,2,FALSE)</f>
        <v>2</v>
      </c>
      <c r="F64" s="2">
        <v>20</v>
      </c>
      <c r="G64" s="2">
        <v>1</v>
      </c>
      <c r="H64" s="2">
        <f t="shared" si="3"/>
        <v>23</v>
      </c>
      <c r="I64" s="9">
        <f t="shared" si="4"/>
        <v>63</v>
      </c>
      <c r="J64" s="2">
        <v>2.5</v>
      </c>
      <c r="K64" s="2">
        <v>3</v>
      </c>
      <c r="L64" s="2">
        <v>4.5</v>
      </c>
      <c r="M64" s="2">
        <v>6</v>
      </c>
      <c r="N64" s="2">
        <v>11</v>
      </c>
      <c r="O64" s="2">
        <v>16</v>
      </c>
      <c r="P64" s="2">
        <v>7</v>
      </c>
      <c r="Q64" s="2">
        <v>9</v>
      </c>
      <c r="R64" s="2">
        <v>12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3">
        <v>0</v>
      </c>
    </row>
    <row r="65" spans="1:24" x14ac:dyDescent="0.25">
      <c r="A65" s="19" t="s">
        <v>117</v>
      </c>
      <c r="B65" s="1" t="s">
        <v>57</v>
      </c>
      <c r="C65" s="2" t="s">
        <v>6</v>
      </c>
      <c r="D65" s="2"/>
      <c r="E65" s="2">
        <f>VLOOKUP(C65,Resources!$A$2:$B$5,2,FALSE)</f>
        <v>1</v>
      </c>
      <c r="F65" s="2">
        <v>30</v>
      </c>
      <c r="G65" s="2">
        <v>2</v>
      </c>
      <c r="H65" s="2">
        <f t="shared" si="3"/>
        <v>6</v>
      </c>
      <c r="I65" s="9">
        <f t="shared" si="4"/>
        <v>66</v>
      </c>
      <c r="J65" s="2">
        <v>4</v>
      </c>
      <c r="K65" s="2">
        <v>6</v>
      </c>
      <c r="L65" s="2">
        <v>9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3">
        <v>0</v>
      </c>
    </row>
    <row r="66" spans="1:24" x14ac:dyDescent="0.25">
      <c r="A66" s="19" t="s">
        <v>117</v>
      </c>
      <c r="B66" s="1" t="s">
        <v>52</v>
      </c>
      <c r="C66" s="2" t="s">
        <v>6</v>
      </c>
      <c r="D66" s="2"/>
      <c r="E66" s="2">
        <f>VLOOKUP(C66,Resources!$A$2:$B$5,2,FALSE)</f>
        <v>1</v>
      </c>
      <c r="F66" s="2">
        <v>10</v>
      </c>
      <c r="G66" s="2">
        <v>7</v>
      </c>
      <c r="H66" s="2">
        <f t="shared" si="3"/>
        <v>2</v>
      </c>
      <c r="I66" s="9">
        <f t="shared" si="4"/>
        <v>72</v>
      </c>
      <c r="J66" s="2">
        <v>2</v>
      </c>
      <c r="K66" s="2">
        <v>2</v>
      </c>
      <c r="L66" s="2">
        <v>3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3">
        <v>0</v>
      </c>
    </row>
    <row r="67" spans="1:24" x14ac:dyDescent="0.25">
      <c r="A67" s="19" t="s">
        <v>117</v>
      </c>
      <c r="B67" s="1" t="s">
        <v>27</v>
      </c>
      <c r="C67" s="2" t="s">
        <v>4</v>
      </c>
      <c r="D67" s="2"/>
      <c r="E67" s="2">
        <f>VLOOKUP(C67,Resources!$A$2:$B$5,2,FALSE)</f>
        <v>0.5</v>
      </c>
      <c r="F67" s="2">
        <v>15</v>
      </c>
      <c r="G67" s="2">
        <v>10</v>
      </c>
      <c r="H67" s="2">
        <f t="shared" si="3"/>
        <v>0</v>
      </c>
      <c r="I67" s="9">
        <f t="shared" si="4"/>
        <v>75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3">
        <v>0</v>
      </c>
    </row>
    <row r="68" spans="1:24" x14ac:dyDescent="0.25">
      <c r="A68" s="19" t="s">
        <v>117</v>
      </c>
      <c r="B68" s="1" t="s">
        <v>56</v>
      </c>
      <c r="C68" s="2" t="s">
        <v>5</v>
      </c>
      <c r="D68" s="2"/>
      <c r="E68" s="2">
        <f>VLOOKUP(C68,Resources!$A$2:$B$5,2,FALSE)</f>
        <v>2</v>
      </c>
      <c r="F68" s="2">
        <v>16</v>
      </c>
      <c r="G68" s="2">
        <v>2</v>
      </c>
      <c r="H68" s="2">
        <f t="shared" ref="H68:H101" si="5">TRUNC(((J68+K68+L68) / 3) + ((M68+N68+O68)/3) + ((P68+Q68+R68)/3) + ((S68+T68+U68)/3) + ((V68+W68+X68)/3))</f>
        <v>15</v>
      </c>
      <c r="I68" s="9">
        <f t="shared" ref="I68:I99" si="6">TRUNC(F68*G68*E68) + H68</f>
        <v>79</v>
      </c>
      <c r="J68" s="2">
        <v>3</v>
      </c>
      <c r="K68" s="2">
        <v>5</v>
      </c>
      <c r="L68" s="2">
        <v>7</v>
      </c>
      <c r="M68" s="2">
        <v>5</v>
      </c>
      <c r="N68" s="2">
        <v>8</v>
      </c>
      <c r="O68" s="2">
        <v>12</v>
      </c>
      <c r="P68" s="2">
        <v>2</v>
      </c>
      <c r="Q68" s="2">
        <v>2</v>
      </c>
      <c r="R68" s="2">
        <v>3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3">
        <v>0</v>
      </c>
    </row>
    <row r="69" spans="1:24" x14ac:dyDescent="0.25">
      <c r="A69" s="19" t="s">
        <v>117</v>
      </c>
      <c r="B69" s="1" t="s">
        <v>3</v>
      </c>
      <c r="C69" s="2" t="s">
        <v>4</v>
      </c>
      <c r="D69" s="2"/>
      <c r="E69" s="2">
        <f>VLOOKUP(C69,Resources!$A$2:$B$5,2,FALSE)</f>
        <v>0.5</v>
      </c>
      <c r="F69" s="2">
        <v>20</v>
      </c>
      <c r="G69" s="2">
        <v>60</v>
      </c>
      <c r="H69" s="2">
        <f t="shared" si="5"/>
        <v>0</v>
      </c>
      <c r="I69" s="9">
        <f t="shared" si="6"/>
        <v>600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3">
        <v>0</v>
      </c>
    </row>
    <row r="70" spans="1:24" x14ac:dyDescent="0.25">
      <c r="A70" s="19" t="s">
        <v>117</v>
      </c>
      <c r="B70" s="1" t="s">
        <v>86</v>
      </c>
      <c r="C70" s="2" t="s">
        <v>5</v>
      </c>
      <c r="D70" s="2" t="s">
        <v>99</v>
      </c>
      <c r="E70" s="2">
        <f>VLOOKUP(C70,Resources!$A$2:$B$5,2,FALSE)</f>
        <v>2</v>
      </c>
      <c r="F70" s="2">
        <v>20</v>
      </c>
      <c r="G70" s="2">
        <v>2</v>
      </c>
      <c r="H70" s="2">
        <f t="shared" si="5"/>
        <v>3</v>
      </c>
      <c r="I70" s="9">
        <f t="shared" si="6"/>
        <v>83</v>
      </c>
      <c r="J70" s="2">
        <v>2.5</v>
      </c>
      <c r="K70" s="2">
        <v>3</v>
      </c>
      <c r="L70" s="2">
        <v>4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3">
        <v>0</v>
      </c>
    </row>
    <row r="71" spans="1:24" x14ac:dyDescent="0.25">
      <c r="A71" s="19" t="s">
        <v>117</v>
      </c>
      <c r="B71" s="1" t="s">
        <v>63</v>
      </c>
      <c r="C71" s="2" t="s">
        <v>5</v>
      </c>
      <c r="D71" s="2"/>
      <c r="E71" s="2">
        <f>VLOOKUP(C71,Resources!$A$2:$B$5,2,FALSE)</f>
        <v>2</v>
      </c>
      <c r="F71" s="2">
        <v>20</v>
      </c>
      <c r="G71" s="2">
        <v>1</v>
      </c>
      <c r="H71" s="2">
        <f t="shared" si="5"/>
        <v>43</v>
      </c>
      <c r="I71" s="9">
        <f t="shared" si="6"/>
        <v>83</v>
      </c>
      <c r="J71" s="2">
        <v>22</v>
      </c>
      <c r="K71" s="2">
        <v>43</v>
      </c>
      <c r="L71" s="2">
        <v>64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3">
        <v>0</v>
      </c>
    </row>
    <row r="72" spans="1:24" x14ac:dyDescent="0.25">
      <c r="A72" s="19" t="s">
        <v>117</v>
      </c>
      <c r="B72" s="1" t="s">
        <v>70</v>
      </c>
      <c r="C72" s="2" t="s">
        <v>5</v>
      </c>
      <c r="D72" s="2"/>
      <c r="E72" s="2">
        <f>VLOOKUP(C72,Resources!$A$2:$B$5,2,FALSE)</f>
        <v>2</v>
      </c>
      <c r="F72" s="2">
        <v>20</v>
      </c>
      <c r="G72" s="2">
        <v>2</v>
      </c>
      <c r="H72" s="2">
        <f t="shared" si="5"/>
        <v>3</v>
      </c>
      <c r="I72" s="9">
        <f t="shared" si="6"/>
        <v>83</v>
      </c>
      <c r="J72" s="2">
        <v>2.5</v>
      </c>
      <c r="K72" s="2">
        <v>3</v>
      </c>
      <c r="L72" s="2">
        <v>4.5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3">
        <v>0</v>
      </c>
    </row>
    <row r="73" spans="1:24" x14ac:dyDescent="0.25">
      <c r="A73" s="19" t="s">
        <v>117</v>
      </c>
      <c r="B73" s="1" t="s">
        <v>10</v>
      </c>
      <c r="C73" s="2" t="s">
        <v>4</v>
      </c>
      <c r="D73" s="2"/>
      <c r="E73" s="2">
        <f>VLOOKUP(C73,Resources!$A$2:$B$5,2,FALSE)</f>
        <v>0.5</v>
      </c>
      <c r="F73" s="2">
        <v>32</v>
      </c>
      <c r="G73" s="2">
        <v>6</v>
      </c>
      <c r="H73" s="2">
        <f t="shared" si="5"/>
        <v>0</v>
      </c>
      <c r="I73" s="9">
        <f t="shared" si="6"/>
        <v>96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3">
        <v>0</v>
      </c>
    </row>
    <row r="74" spans="1:24" x14ac:dyDescent="0.25">
      <c r="A74" s="19" t="s">
        <v>117</v>
      </c>
      <c r="B74" s="1" t="s">
        <v>77</v>
      </c>
      <c r="C74" s="2" t="s">
        <v>5</v>
      </c>
      <c r="D74" s="2"/>
      <c r="E74" s="2">
        <f>VLOOKUP(C74,Resources!$A$2:$B$5,2,FALSE)</f>
        <v>2</v>
      </c>
      <c r="F74" s="2">
        <v>8</v>
      </c>
      <c r="G74" s="2">
        <v>6</v>
      </c>
      <c r="H74" s="2">
        <f t="shared" si="5"/>
        <v>1</v>
      </c>
      <c r="I74" s="9">
        <f t="shared" si="6"/>
        <v>97</v>
      </c>
      <c r="J74" s="2">
        <v>1</v>
      </c>
      <c r="K74" s="2">
        <v>1</v>
      </c>
      <c r="L74" s="2">
        <v>1.5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3">
        <v>0</v>
      </c>
    </row>
    <row r="75" spans="1:24" x14ac:dyDescent="0.25">
      <c r="A75" s="19" t="s">
        <v>117</v>
      </c>
      <c r="B75" s="1" t="s">
        <v>71</v>
      </c>
      <c r="C75" s="2" t="s">
        <v>5</v>
      </c>
      <c r="D75" s="2"/>
      <c r="E75" s="2">
        <f>VLOOKUP(C75,Resources!$A$2:$B$5,2,FALSE)</f>
        <v>2</v>
      </c>
      <c r="F75" s="2">
        <v>16</v>
      </c>
      <c r="G75" s="2">
        <v>3</v>
      </c>
      <c r="H75" s="2">
        <f t="shared" si="5"/>
        <v>6</v>
      </c>
      <c r="I75" s="9">
        <f t="shared" si="6"/>
        <v>102</v>
      </c>
      <c r="J75" s="2">
        <v>4</v>
      </c>
      <c r="K75" s="2">
        <v>6</v>
      </c>
      <c r="L75" s="2">
        <v>9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3">
        <v>0</v>
      </c>
    </row>
    <row r="76" spans="1:24" x14ac:dyDescent="0.25">
      <c r="A76" s="19" t="s">
        <v>117</v>
      </c>
      <c r="B76" s="1" t="s">
        <v>44</v>
      </c>
      <c r="C76" s="2" t="s">
        <v>6</v>
      </c>
      <c r="D76" s="2"/>
      <c r="E76" s="2">
        <f>VLOOKUP(C76,Resources!$A$2:$B$5,2,FALSE)</f>
        <v>1</v>
      </c>
      <c r="F76" s="2">
        <v>12</v>
      </c>
      <c r="G76" s="2">
        <v>8</v>
      </c>
      <c r="H76" s="2">
        <f t="shared" si="5"/>
        <v>8</v>
      </c>
      <c r="I76" s="9">
        <f t="shared" si="6"/>
        <v>104</v>
      </c>
      <c r="J76" s="2">
        <v>2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8</v>
      </c>
      <c r="U76" s="2">
        <v>15</v>
      </c>
      <c r="V76" s="2">
        <v>0</v>
      </c>
      <c r="W76" s="2">
        <v>0</v>
      </c>
      <c r="X76" s="3">
        <v>0</v>
      </c>
    </row>
    <row r="77" spans="1:24" x14ac:dyDescent="0.25">
      <c r="A77" s="19" t="s">
        <v>117</v>
      </c>
      <c r="B77" s="1" t="s">
        <v>19</v>
      </c>
      <c r="C77" s="2" t="s">
        <v>4</v>
      </c>
      <c r="D77" s="2"/>
      <c r="E77" s="2">
        <f>VLOOKUP(C77,Resources!$A$2:$B$5,2,FALSE)</f>
        <v>0.5</v>
      </c>
      <c r="F77" s="2">
        <v>30</v>
      </c>
      <c r="G77" s="2">
        <v>8</v>
      </c>
      <c r="H77" s="2">
        <f t="shared" si="5"/>
        <v>0</v>
      </c>
      <c r="I77" s="9">
        <f t="shared" si="6"/>
        <v>120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3">
        <v>0</v>
      </c>
    </row>
    <row r="78" spans="1:24" x14ac:dyDescent="0.25">
      <c r="A78" s="19" t="s">
        <v>117</v>
      </c>
      <c r="B78" s="1" t="s">
        <v>87</v>
      </c>
      <c r="C78" s="2" t="s">
        <v>5</v>
      </c>
      <c r="D78" s="2"/>
      <c r="E78" s="2">
        <f>VLOOKUP(C78,Resources!$A$2:$B$5,2,FALSE)</f>
        <v>2</v>
      </c>
      <c r="F78" s="2">
        <v>20</v>
      </c>
      <c r="G78" s="2">
        <v>3</v>
      </c>
      <c r="H78" s="2">
        <f t="shared" si="5"/>
        <v>3</v>
      </c>
      <c r="I78" s="9">
        <f t="shared" si="6"/>
        <v>123</v>
      </c>
      <c r="J78" s="2">
        <v>2.5</v>
      </c>
      <c r="K78" s="2">
        <v>3</v>
      </c>
      <c r="L78" s="2">
        <v>4.5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3">
        <v>0</v>
      </c>
    </row>
    <row r="79" spans="1:24" x14ac:dyDescent="0.25">
      <c r="A79" s="19" t="s">
        <v>117</v>
      </c>
      <c r="B79" s="1" t="s">
        <v>80</v>
      </c>
      <c r="C79" s="2" t="s">
        <v>5</v>
      </c>
      <c r="D79" s="2"/>
      <c r="E79" s="2">
        <f>VLOOKUP(C79,Resources!$A$2:$B$5,2,FALSE)</f>
        <v>2</v>
      </c>
      <c r="F79" s="2">
        <v>20</v>
      </c>
      <c r="G79" s="2">
        <v>3</v>
      </c>
      <c r="H79" s="2">
        <f t="shared" si="5"/>
        <v>5</v>
      </c>
      <c r="I79" s="9">
        <f t="shared" si="6"/>
        <v>125</v>
      </c>
      <c r="J79" s="2">
        <v>2</v>
      </c>
      <c r="K79" s="2">
        <v>2</v>
      </c>
      <c r="L79" s="2">
        <v>3</v>
      </c>
      <c r="M79" s="2">
        <v>0</v>
      </c>
      <c r="N79" s="2">
        <v>0</v>
      </c>
      <c r="O79" s="2">
        <v>0</v>
      </c>
      <c r="P79" s="2">
        <v>3</v>
      </c>
      <c r="Q79" s="2">
        <v>3</v>
      </c>
      <c r="R79" s="2">
        <v>3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3">
        <v>0</v>
      </c>
    </row>
    <row r="80" spans="1:24" x14ac:dyDescent="0.25">
      <c r="A80" s="19" t="s">
        <v>117</v>
      </c>
      <c r="B80" s="1" t="s">
        <v>50</v>
      </c>
      <c r="C80" s="2" t="s">
        <v>6</v>
      </c>
      <c r="D80" s="2"/>
      <c r="E80" s="2">
        <f>VLOOKUP(C80,Resources!$A$2:$B$5,2,FALSE)</f>
        <v>1</v>
      </c>
      <c r="F80" s="2">
        <v>40</v>
      </c>
      <c r="G80" s="2">
        <v>3</v>
      </c>
      <c r="H80" s="2">
        <f t="shared" si="5"/>
        <v>7</v>
      </c>
      <c r="I80" s="9">
        <f t="shared" si="6"/>
        <v>127</v>
      </c>
      <c r="J80" s="2">
        <v>4.5</v>
      </c>
      <c r="K80" s="2">
        <v>7</v>
      </c>
      <c r="L80" s="2">
        <v>10.5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3">
        <v>0</v>
      </c>
    </row>
    <row r="81" spans="1:24" x14ac:dyDescent="0.25">
      <c r="A81" s="19" t="s">
        <v>117</v>
      </c>
      <c r="B81" s="1" t="s">
        <v>55</v>
      </c>
      <c r="C81" s="2" t="s">
        <v>6</v>
      </c>
      <c r="D81" s="2"/>
      <c r="E81" s="2">
        <f>VLOOKUP(C81,Resources!$A$2:$B$5,2,FALSE)</f>
        <v>1</v>
      </c>
      <c r="F81" s="2">
        <v>20</v>
      </c>
      <c r="G81" s="2">
        <v>7</v>
      </c>
      <c r="H81" s="2">
        <f t="shared" si="5"/>
        <v>6</v>
      </c>
      <c r="I81" s="9">
        <f t="shared" si="6"/>
        <v>146</v>
      </c>
      <c r="J81" s="2">
        <v>4</v>
      </c>
      <c r="K81" s="2">
        <v>6</v>
      </c>
      <c r="L81" s="2">
        <v>9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3">
        <v>0</v>
      </c>
    </row>
    <row r="82" spans="1:24" x14ac:dyDescent="0.25">
      <c r="A82" s="19" t="s">
        <v>117</v>
      </c>
      <c r="B82" s="1" t="s">
        <v>65</v>
      </c>
      <c r="C82" s="2" t="s">
        <v>5</v>
      </c>
      <c r="D82" s="2"/>
      <c r="E82" s="2">
        <f>VLOOKUP(C82,Resources!$A$2:$B$5,2,FALSE)</f>
        <v>2</v>
      </c>
      <c r="F82" s="2">
        <v>8</v>
      </c>
      <c r="G82" s="2">
        <v>10</v>
      </c>
      <c r="H82" s="2">
        <f t="shared" si="5"/>
        <v>2</v>
      </c>
      <c r="I82" s="9">
        <f t="shared" si="6"/>
        <v>162</v>
      </c>
      <c r="J82" s="2">
        <v>2</v>
      </c>
      <c r="K82" s="2">
        <v>2</v>
      </c>
      <c r="L82" s="2">
        <v>3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3">
        <v>0</v>
      </c>
    </row>
    <row r="83" spans="1:24" x14ac:dyDescent="0.25">
      <c r="A83" s="19" t="s">
        <v>117</v>
      </c>
      <c r="B83" s="1" t="s">
        <v>54</v>
      </c>
      <c r="C83" s="2" t="s">
        <v>6</v>
      </c>
      <c r="D83" s="2"/>
      <c r="E83" s="2">
        <f>VLOOKUP(C83,Resources!$A$2:$B$5,2,FALSE)</f>
        <v>1</v>
      </c>
      <c r="F83" s="2">
        <v>30</v>
      </c>
      <c r="G83" s="2">
        <v>6</v>
      </c>
      <c r="H83" s="2">
        <f t="shared" si="5"/>
        <v>1</v>
      </c>
      <c r="I83" s="9">
        <f t="shared" si="6"/>
        <v>181</v>
      </c>
      <c r="J83" s="2">
        <v>1</v>
      </c>
      <c r="K83" s="2">
        <v>1</v>
      </c>
      <c r="L83" s="2">
        <v>1.5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3">
        <v>0</v>
      </c>
    </row>
    <row r="84" spans="1:24" x14ac:dyDescent="0.25">
      <c r="A84" s="19" t="s">
        <v>117</v>
      </c>
      <c r="B84" s="1" t="s">
        <v>72</v>
      </c>
      <c r="C84" s="2" t="s">
        <v>5</v>
      </c>
      <c r="D84" s="2"/>
      <c r="E84" s="2">
        <f>VLOOKUP(C84,Resources!$A$2:$B$5,2,FALSE)</f>
        <v>2</v>
      </c>
      <c r="F84" s="2">
        <v>20</v>
      </c>
      <c r="G84" s="2">
        <v>5</v>
      </c>
      <c r="H84" s="2">
        <f t="shared" si="5"/>
        <v>2</v>
      </c>
      <c r="I84" s="9">
        <f t="shared" si="6"/>
        <v>202</v>
      </c>
      <c r="J84" s="2">
        <v>2</v>
      </c>
      <c r="K84" s="2">
        <v>2</v>
      </c>
      <c r="L84" s="2">
        <v>3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3">
        <v>0</v>
      </c>
    </row>
    <row r="85" spans="1:24" x14ac:dyDescent="0.25">
      <c r="A85" s="19" t="s">
        <v>117</v>
      </c>
      <c r="B85" s="1" t="s">
        <v>69</v>
      </c>
      <c r="C85" s="2" t="s">
        <v>5</v>
      </c>
      <c r="D85" s="2"/>
      <c r="E85" s="2">
        <f>VLOOKUP(C85,Resources!$A$2:$B$5,2,FALSE)</f>
        <v>2</v>
      </c>
      <c r="F85" s="2">
        <v>40</v>
      </c>
      <c r="G85" s="2">
        <v>5</v>
      </c>
      <c r="H85" s="2">
        <f t="shared" si="5"/>
        <v>3</v>
      </c>
      <c r="I85" s="9">
        <f t="shared" si="6"/>
        <v>403</v>
      </c>
      <c r="J85" s="2">
        <v>2.5</v>
      </c>
      <c r="K85" s="2">
        <v>3</v>
      </c>
      <c r="L85" s="2">
        <v>4.5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3">
        <v>0</v>
      </c>
    </row>
    <row r="86" spans="1:24" x14ac:dyDescent="0.25">
      <c r="A86" s="19" t="s">
        <v>117</v>
      </c>
      <c r="B86" s="1" t="s">
        <v>68</v>
      </c>
      <c r="C86" s="2" t="s">
        <v>5</v>
      </c>
      <c r="D86" s="2"/>
      <c r="E86" s="2">
        <f>VLOOKUP(C86,Resources!$A$2:$B$5,2,FALSE)</f>
        <v>2</v>
      </c>
      <c r="F86" s="2">
        <v>30</v>
      </c>
      <c r="G86" s="2">
        <v>5</v>
      </c>
      <c r="H86" s="2">
        <f t="shared" si="5"/>
        <v>8</v>
      </c>
      <c r="I86" s="9">
        <f t="shared" si="6"/>
        <v>308</v>
      </c>
      <c r="J86" s="2">
        <v>2</v>
      </c>
      <c r="K86" s="2">
        <v>2</v>
      </c>
      <c r="L86" s="2">
        <v>3</v>
      </c>
      <c r="M86" s="2">
        <v>0</v>
      </c>
      <c r="N86" s="2">
        <v>0</v>
      </c>
      <c r="O86" s="2">
        <v>0</v>
      </c>
      <c r="P86" s="2">
        <v>4</v>
      </c>
      <c r="Q86" s="2">
        <v>6</v>
      </c>
      <c r="R86" s="2">
        <v>9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3">
        <v>0</v>
      </c>
    </row>
    <row r="87" spans="1:24" x14ac:dyDescent="0.25">
      <c r="A87" s="19" t="s">
        <v>117</v>
      </c>
      <c r="B87" s="1" t="s">
        <v>83</v>
      </c>
      <c r="C87" s="2" t="s">
        <v>5</v>
      </c>
      <c r="D87" s="2"/>
      <c r="E87" s="2">
        <f>VLOOKUP(C87,Resources!$A$2:$B$5,2,FALSE)</f>
        <v>2</v>
      </c>
      <c r="F87" s="2">
        <v>26</v>
      </c>
      <c r="G87" s="2">
        <v>4</v>
      </c>
      <c r="H87" s="2">
        <f t="shared" si="5"/>
        <v>42</v>
      </c>
      <c r="I87" s="9">
        <f t="shared" si="6"/>
        <v>250</v>
      </c>
      <c r="J87" s="2">
        <v>6</v>
      </c>
      <c r="K87" s="2">
        <v>6</v>
      </c>
      <c r="L87" s="2">
        <v>6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36</v>
      </c>
      <c r="T87" s="2">
        <v>36</v>
      </c>
      <c r="U87" s="2">
        <v>36</v>
      </c>
      <c r="V87" s="2">
        <v>0</v>
      </c>
      <c r="W87" s="2">
        <v>0</v>
      </c>
      <c r="X87" s="3">
        <v>0</v>
      </c>
    </row>
    <row r="88" spans="1:24" x14ac:dyDescent="0.25">
      <c r="A88" s="19" t="s">
        <v>117</v>
      </c>
      <c r="B88" s="1" t="s">
        <v>81</v>
      </c>
      <c r="C88" s="2" t="s">
        <v>5</v>
      </c>
      <c r="D88" s="2"/>
      <c r="E88" s="2">
        <f>VLOOKUP(C88,Resources!$A$2:$B$5,2,FALSE)</f>
        <v>2</v>
      </c>
      <c r="F88" s="2">
        <v>14</v>
      </c>
      <c r="G88" s="2">
        <v>10</v>
      </c>
      <c r="H88" s="2">
        <f t="shared" si="5"/>
        <v>13</v>
      </c>
      <c r="I88" s="9">
        <f t="shared" si="6"/>
        <v>293</v>
      </c>
      <c r="J88" s="2">
        <v>3</v>
      </c>
      <c r="K88" s="2">
        <v>4</v>
      </c>
      <c r="L88" s="2">
        <v>5</v>
      </c>
      <c r="M88" s="2">
        <v>5.5</v>
      </c>
      <c r="N88" s="2">
        <v>9</v>
      </c>
      <c r="O88" s="2">
        <v>13.5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3">
        <v>0</v>
      </c>
    </row>
    <row r="89" spans="1:24" x14ac:dyDescent="0.25">
      <c r="A89" s="19" t="s">
        <v>117</v>
      </c>
      <c r="B89" s="1" t="s">
        <v>61</v>
      </c>
      <c r="C89" s="2" t="s">
        <v>5</v>
      </c>
      <c r="D89" s="2"/>
      <c r="E89" s="2">
        <f>VLOOKUP(C89,Resources!$A$2:$B$5,2,FALSE)</f>
        <v>2</v>
      </c>
      <c r="F89" s="2">
        <v>20</v>
      </c>
      <c r="G89" s="2">
        <v>7</v>
      </c>
      <c r="H89" s="2">
        <f t="shared" si="5"/>
        <v>16</v>
      </c>
      <c r="I89" s="9">
        <f t="shared" si="6"/>
        <v>296</v>
      </c>
      <c r="J89" s="2">
        <v>4</v>
      </c>
      <c r="K89" s="2">
        <v>6</v>
      </c>
      <c r="L89" s="2">
        <v>9</v>
      </c>
      <c r="M89" s="2">
        <v>0</v>
      </c>
      <c r="N89" s="2">
        <v>0</v>
      </c>
      <c r="O89" s="2">
        <v>0</v>
      </c>
      <c r="P89" s="2">
        <v>5</v>
      </c>
      <c r="Q89" s="2">
        <v>5</v>
      </c>
      <c r="R89" s="2">
        <v>5</v>
      </c>
      <c r="S89" s="2">
        <v>0</v>
      </c>
      <c r="T89" s="2">
        <v>0</v>
      </c>
      <c r="U89" s="2">
        <v>0</v>
      </c>
      <c r="V89" s="2">
        <v>5</v>
      </c>
      <c r="W89" s="2">
        <v>5</v>
      </c>
      <c r="X89" s="3">
        <v>5</v>
      </c>
    </row>
    <row r="90" spans="1:24" x14ac:dyDescent="0.25">
      <c r="A90" s="19" t="s">
        <v>117</v>
      </c>
      <c r="B90" s="1" t="s">
        <v>53</v>
      </c>
      <c r="C90" s="2" t="s">
        <v>6</v>
      </c>
      <c r="D90" s="2"/>
      <c r="E90" s="2">
        <f>VLOOKUP(C90,Resources!$A$2:$B$5,2,FALSE)</f>
        <v>1</v>
      </c>
      <c r="F90" s="2">
        <v>100</v>
      </c>
      <c r="G90" s="2">
        <v>3</v>
      </c>
      <c r="H90" s="2">
        <f t="shared" si="5"/>
        <v>7</v>
      </c>
      <c r="I90" s="9">
        <f t="shared" si="6"/>
        <v>307</v>
      </c>
      <c r="J90" s="2">
        <v>4.75</v>
      </c>
      <c r="K90" s="2">
        <v>7.5</v>
      </c>
      <c r="L90" s="2">
        <v>11.25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3">
        <v>0</v>
      </c>
    </row>
    <row r="91" spans="1:24" x14ac:dyDescent="0.25">
      <c r="A91" s="19" t="s">
        <v>117</v>
      </c>
      <c r="B91" s="1" t="s">
        <v>84</v>
      </c>
      <c r="C91" s="2" t="s">
        <v>5</v>
      </c>
      <c r="D91" s="2"/>
      <c r="E91" s="2">
        <f>VLOOKUP(C91,Resources!$A$2:$B$5,2,FALSE)</f>
        <v>2</v>
      </c>
      <c r="F91" s="2">
        <v>20</v>
      </c>
      <c r="G91" s="2">
        <v>10</v>
      </c>
      <c r="H91" s="2">
        <f t="shared" si="5"/>
        <v>10</v>
      </c>
      <c r="I91" s="9">
        <f t="shared" si="6"/>
        <v>410</v>
      </c>
      <c r="J91" s="2">
        <v>2</v>
      </c>
      <c r="K91" s="2">
        <v>2</v>
      </c>
      <c r="L91" s="2">
        <v>3</v>
      </c>
      <c r="M91" s="2">
        <v>5</v>
      </c>
      <c r="N91" s="2">
        <v>8</v>
      </c>
      <c r="O91" s="2">
        <v>12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3">
        <v>0</v>
      </c>
    </row>
    <row r="92" spans="1:24" x14ac:dyDescent="0.25">
      <c r="A92" s="19" t="s">
        <v>117</v>
      </c>
      <c r="B92" s="1" t="s">
        <v>74</v>
      </c>
      <c r="C92" s="2" t="s">
        <v>5</v>
      </c>
      <c r="D92" s="2"/>
      <c r="E92" s="2">
        <f>VLOOKUP(C92,Resources!$A$2:$B$5,2,FALSE)</f>
        <v>2</v>
      </c>
      <c r="F92" s="2">
        <v>24</v>
      </c>
      <c r="G92" s="2">
        <v>6</v>
      </c>
      <c r="H92" s="2">
        <f t="shared" si="5"/>
        <v>7</v>
      </c>
      <c r="I92" s="9">
        <f t="shared" si="6"/>
        <v>295</v>
      </c>
      <c r="J92" s="2">
        <v>2</v>
      </c>
      <c r="K92" s="2">
        <v>3</v>
      </c>
      <c r="L92" s="2">
        <v>5</v>
      </c>
      <c r="M92" s="2">
        <v>0</v>
      </c>
      <c r="N92" s="2">
        <v>0</v>
      </c>
      <c r="O92" s="2">
        <v>0</v>
      </c>
      <c r="P92" s="2">
        <v>3.5</v>
      </c>
      <c r="Q92" s="2">
        <v>4</v>
      </c>
      <c r="R92" s="2">
        <v>4.5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3">
        <v>0</v>
      </c>
    </row>
    <row r="93" spans="1:24" x14ac:dyDescent="0.25">
      <c r="A93" s="19" t="s">
        <v>117</v>
      </c>
      <c r="B93" s="1" t="s">
        <v>76</v>
      </c>
      <c r="C93" s="2" t="s">
        <v>5</v>
      </c>
      <c r="D93" s="2"/>
      <c r="E93" s="2">
        <f>VLOOKUP(C93,Resources!$A$2:$B$5,2,FALSE)</f>
        <v>2</v>
      </c>
      <c r="F93" s="2">
        <v>30</v>
      </c>
      <c r="G93" s="2">
        <v>6</v>
      </c>
      <c r="H93" s="2">
        <f t="shared" si="5"/>
        <v>4</v>
      </c>
      <c r="I93" s="9">
        <f t="shared" si="6"/>
        <v>364</v>
      </c>
      <c r="J93" s="2">
        <v>3</v>
      </c>
      <c r="K93" s="2">
        <v>4</v>
      </c>
      <c r="L93" s="2">
        <v>6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3">
        <v>0</v>
      </c>
    </row>
    <row r="94" spans="1:24" x14ac:dyDescent="0.25">
      <c r="A94" s="19" t="s">
        <v>117</v>
      </c>
      <c r="B94" s="1" t="s">
        <v>73</v>
      </c>
      <c r="C94" s="2" t="s">
        <v>5</v>
      </c>
      <c r="D94" s="2"/>
      <c r="E94" s="2">
        <f>VLOOKUP(C94,Resources!$A$2:$B$5,2,FALSE)</f>
        <v>2</v>
      </c>
      <c r="F94" s="2">
        <v>50</v>
      </c>
      <c r="G94" s="2">
        <v>5</v>
      </c>
      <c r="H94" s="2">
        <f t="shared" si="5"/>
        <v>20</v>
      </c>
      <c r="I94" s="9">
        <f t="shared" si="6"/>
        <v>520</v>
      </c>
      <c r="J94" s="2">
        <v>4.5</v>
      </c>
      <c r="K94" s="2">
        <v>7</v>
      </c>
      <c r="L94" s="2">
        <v>10.5</v>
      </c>
      <c r="M94" s="2">
        <v>7.5</v>
      </c>
      <c r="N94" s="2">
        <v>13</v>
      </c>
      <c r="O94" s="2">
        <v>19.5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3">
        <v>0</v>
      </c>
    </row>
    <row r="95" spans="1:24" x14ac:dyDescent="0.25">
      <c r="A95" s="19" t="s">
        <v>117</v>
      </c>
      <c r="B95" s="1" t="s">
        <v>66</v>
      </c>
      <c r="C95" s="2" t="s">
        <v>5</v>
      </c>
      <c r="D95" s="2"/>
      <c r="E95" s="2">
        <f>VLOOKUP(C95,Resources!$A$2:$B$5,2,FALSE)</f>
        <v>2</v>
      </c>
      <c r="F95" s="2">
        <v>24</v>
      </c>
      <c r="G95" s="2">
        <v>10</v>
      </c>
      <c r="H95" s="2">
        <f t="shared" si="5"/>
        <v>6</v>
      </c>
      <c r="I95" s="9">
        <f t="shared" si="6"/>
        <v>486</v>
      </c>
      <c r="J95" s="2">
        <v>4</v>
      </c>
      <c r="K95" s="2">
        <v>6</v>
      </c>
      <c r="L95" s="2">
        <v>9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3">
        <v>0</v>
      </c>
    </row>
    <row r="96" spans="1:24" x14ac:dyDescent="0.25">
      <c r="A96" s="19" t="s">
        <v>117</v>
      </c>
      <c r="B96" s="1" t="s">
        <v>82</v>
      </c>
      <c r="C96" s="2" t="s">
        <v>5</v>
      </c>
      <c r="D96" s="2"/>
      <c r="E96" s="2">
        <f>VLOOKUP(C96,Resources!$A$2:$B$5,2,FALSE)</f>
        <v>2</v>
      </c>
      <c r="F96" s="2">
        <v>24</v>
      </c>
      <c r="G96" s="2">
        <v>10</v>
      </c>
      <c r="H96" s="2">
        <f t="shared" si="5"/>
        <v>18</v>
      </c>
      <c r="I96" s="9">
        <f t="shared" si="6"/>
        <v>498</v>
      </c>
      <c r="J96" s="2">
        <v>3.5</v>
      </c>
      <c r="K96" s="2">
        <v>5</v>
      </c>
      <c r="L96" s="2">
        <v>7.5</v>
      </c>
      <c r="M96" s="2">
        <v>7.5</v>
      </c>
      <c r="N96" s="2">
        <v>13</v>
      </c>
      <c r="O96" s="2">
        <v>19.5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3">
        <v>0</v>
      </c>
    </row>
    <row r="97" spans="1:24" x14ac:dyDescent="0.25">
      <c r="A97" s="19" t="s">
        <v>117</v>
      </c>
      <c r="B97" s="1" t="s">
        <v>85</v>
      </c>
      <c r="C97" s="2" t="s">
        <v>5</v>
      </c>
      <c r="D97" s="2"/>
      <c r="E97" s="2">
        <f>VLOOKUP(C97,Resources!$A$2:$B$5,2,FALSE)</f>
        <v>2</v>
      </c>
      <c r="F97" s="2">
        <v>40</v>
      </c>
      <c r="G97" s="2">
        <v>10</v>
      </c>
      <c r="H97" s="2">
        <f t="shared" si="5"/>
        <v>3</v>
      </c>
      <c r="I97" s="9">
        <f t="shared" si="6"/>
        <v>803</v>
      </c>
      <c r="J97" s="2">
        <v>3</v>
      </c>
      <c r="K97" s="2">
        <v>3</v>
      </c>
      <c r="L97" s="2">
        <v>4.5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3">
        <v>0</v>
      </c>
    </row>
    <row r="98" spans="1:24" x14ac:dyDescent="0.25">
      <c r="A98" s="19" t="s">
        <v>117</v>
      </c>
      <c r="B98" s="1" t="s">
        <v>64</v>
      </c>
      <c r="C98" s="2" t="s">
        <v>5</v>
      </c>
      <c r="D98" s="2"/>
      <c r="E98" s="2">
        <f>VLOOKUP(C98,Resources!$A$2:$B$5,2,FALSE)</f>
        <v>2</v>
      </c>
      <c r="F98" s="2">
        <v>80</v>
      </c>
      <c r="G98" s="2">
        <v>6</v>
      </c>
      <c r="H98" s="2">
        <f t="shared" si="5"/>
        <v>10</v>
      </c>
      <c r="I98" s="9">
        <f t="shared" si="6"/>
        <v>970</v>
      </c>
      <c r="J98" s="2">
        <v>2</v>
      </c>
      <c r="K98" s="2">
        <v>2</v>
      </c>
      <c r="L98" s="2">
        <v>3</v>
      </c>
      <c r="M98" s="2">
        <v>0</v>
      </c>
      <c r="N98" s="2">
        <v>0</v>
      </c>
      <c r="O98" s="2">
        <v>0</v>
      </c>
      <c r="P98" s="2">
        <v>5</v>
      </c>
      <c r="Q98" s="2">
        <v>8</v>
      </c>
      <c r="R98" s="2">
        <v>12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3">
        <v>0</v>
      </c>
    </row>
    <row r="99" spans="1:24" x14ac:dyDescent="0.25">
      <c r="A99" s="19" t="s">
        <v>117</v>
      </c>
      <c r="B99" s="1" t="s">
        <v>75</v>
      </c>
      <c r="C99" s="2" t="s">
        <v>5</v>
      </c>
      <c r="D99" s="2"/>
      <c r="E99" s="2">
        <f>VLOOKUP(C99,Resources!$A$2:$B$5,2,FALSE)</f>
        <v>2</v>
      </c>
      <c r="F99" s="2">
        <v>100</v>
      </c>
      <c r="G99" s="2">
        <v>10</v>
      </c>
      <c r="H99" s="2">
        <f t="shared" si="5"/>
        <v>18</v>
      </c>
      <c r="I99" s="9">
        <f t="shared" si="6"/>
        <v>2018</v>
      </c>
      <c r="J99" s="2">
        <v>7</v>
      </c>
      <c r="K99" s="2">
        <v>12</v>
      </c>
      <c r="L99" s="2">
        <v>18</v>
      </c>
      <c r="M99" s="2">
        <v>0</v>
      </c>
      <c r="N99" s="2">
        <v>0</v>
      </c>
      <c r="O99" s="2">
        <v>0</v>
      </c>
      <c r="P99" s="2">
        <v>6</v>
      </c>
      <c r="Q99" s="2">
        <v>6</v>
      </c>
      <c r="R99" s="2">
        <v>6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3">
        <v>0</v>
      </c>
    </row>
    <row r="100" spans="1:24" x14ac:dyDescent="0.25">
      <c r="A100" s="19" t="s">
        <v>117</v>
      </c>
      <c r="B100" s="1" t="s">
        <v>88</v>
      </c>
      <c r="C100" s="2" t="s">
        <v>7</v>
      </c>
      <c r="D100" s="2"/>
      <c r="E100" s="2">
        <f>VLOOKUP(C100,Resources!$A$2:$B$5,2,FALSE)</f>
        <v>2</v>
      </c>
      <c r="F100" s="2">
        <v>200</v>
      </c>
      <c r="G100" s="2">
        <v>10</v>
      </c>
      <c r="H100" s="2">
        <f t="shared" si="5"/>
        <v>28</v>
      </c>
      <c r="I100" s="9">
        <f t="shared" ref="I100:I101" si="7">TRUNC(F100*G100*E100) + H100</f>
        <v>4028</v>
      </c>
      <c r="J100" s="2">
        <v>6</v>
      </c>
      <c r="K100" s="2">
        <v>10</v>
      </c>
      <c r="L100" s="2">
        <v>15</v>
      </c>
      <c r="M100" s="2">
        <v>6</v>
      </c>
      <c r="N100" s="2">
        <v>6</v>
      </c>
      <c r="O100" s="2">
        <v>6</v>
      </c>
      <c r="P100" s="2">
        <v>12</v>
      </c>
      <c r="Q100" s="2">
        <v>12</v>
      </c>
      <c r="R100" s="2">
        <v>12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3">
        <v>0</v>
      </c>
    </row>
    <row r="101" spans="1:24" x14ac:dyDescent="0.25">
      <c r="A101" s="19" t="s">
        <v>117</v>
      </c>
      <c r="B101" s="1" t="s">
        <v>89</v>
      </c>
      <c r="C101" s="2" t="s">
        <v>7</v>
      </c>
      <c r="D101" s="2"/>
      <c r="E101" s="2">
        <f>VLOOKUP(C101,Resources!$A$2:$B$5,2,FALSE)</f>
        <v>2</v>
      </c>
      <c r="F101" s="2">
        <v>300</v>
      </c>
      <c r="G101" s="2">
        <v>10</v>
      </c>
      <c r="H101" s="2">
        <f t="shared" si="5"/>
        <v>8</v>
      </c>
      <c r="I101" s="9">
        <f t="shared" si="7"/>
        <v>6008</v>
      </c>
      <c r="J101" s="2">
        <v>5</v>
      </c>
      <c r="K101" s="2">
        <v>8</v>
      </c>
      <c r="L101" s="2">
        <v>12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3">
        <v>0</v>
      </c>
    </row>
    <row r="102" spans="1:24" x14ac:dyDescent="0.25">
      <c r="A102" s="19" t="s">
        <v>117</v>
      </c>
      <c r="B102" s="14" t="s">
        <v>90</v>
      </c>
      <c r="C102" s="15" t="s">
        <v>7</v>
      </c>
      <c r="D102" s="15"/>
      <c r="E102" s="2">
        <v>2</v>
      </c>
      <c r="F102" s="15">
        <v>500</v>
      </c>
      <c r="G102" s="15">
        <v>8</v>
      </c>
      <c r="H102" s="2">
        <v>40</v>
      </c>
      <c r="I102" s="9">
        <v>8040</v>
      </c>
      <c r="J102" s="15">
        <v>16</v>
      </c>
      <c r="K102" s="15">
        <v>30</v>
      </c>
      <c r="L102" s="15">
        <v>45</v>
      </c>
      <c r="M102" s="15">
        <v>0</v>
      </c>
      <c r="N102" s="15">
        <v>0</v>
      </c>
      <c r="O102" s="15">
        <v>0</v>
      </c>
      <c r="P102" s="15">
        <v>6</v>
      </c>
      <c r="Q102" s="15">
        <v>10</v>
      </c>
      <c r="R102" s="15">
        <v>15</v>
      </c>
      <c r="S102" s="15">
        <v>0</v>
      </c>
      <c r="T102" s="15">
        <v>0</v>
      </c>
      <c r="U102" s="15">
        <v>0</v>
      </c>
      <c r="V102" s="15">
        <v>0</v>
      </c>
      <c r="W102" s="15">
        <v>0</v>
      </c>
      <c r="X102" s="16">
        <v>0</v>
      </c>
    </row>
    <row r="103" spans="1:24" x14ac:dyDescent="0.25">
      <c r="A103" s="19" t="s">
        <v>122</v>
      </c>
      <c r="B103" s="14" t="s">
        <v>96</v>
      </c>
      <c r="C103" s="15" t="s">
        <v>5</v>
      </c>
      <c r="D103" s="15"/>
      <c r="E103" s="2">
        <f>VLOOKUP(C103,Resources!$A$2:$B$5,2,FALSE)</f>
        <v>2</v>
      </c>
      <c r="F103" s="15">
        <v>16</v>
      </c>
      <c r="G103" s="15">
        <v>5</v>
      </c>
      <c r="H103" s="2">
        <f>TRUNC(((J103+K103+L103) / 3) + ((M103+N103+O103)/3) + ((P103+Q103+R103)/3) + ((S103+T103+U103)/3) + ((V103+W103+X103)/3))</f>
        <v>11</v>
      </c>
      <c r="I103" s="9">
        <f>TRUNC(F103*G103*E103) + H103</f>
        <v>171</v>
      </c>
      <c r="J103" s="15">
        <v>2</v>
      </c>
      <c r="K103" s="15">
        <v>2</v>
      </c>
      <c r="L103" s="15">
        <v>3</v>
      </c>
      <c r="M103" s="15">
        <v>0</v>
      </c>
      <c r="N103" s="15">
        <v>0</v>
      </c>
      <c r="O103" s="15">
        <v>0</v>
      </c>
      <c r="P103" s="15">
        <v>4</v>
      </c>
      <c r="Q103" s="15">
        <v>5</v>
      </c>
      <c r="R103" s="15">
        <v>8</v>
      </c>
      <c r="S103" s="15">
        <v>3</v>
      </c>
      <c r="T103" s="15">
        <v>3</v>
      </c>
      <c r="U103" s="15">
        <v>3</v>
      </c>
      <c r="V103" s="15">
        <v>0</v>
      </c>
      <c r="W103" s="15">
        <v>0</v>
      </c>
      <c r="X103" s="16">
        <v>0</v>
      </c>
    </row>
    <row r="104" spans="1:24" x14ac:dyDescent="0.25">
      <c r="A104" s="19" t="s">
        <v>122</v>
      </c>
      <c r="B104" s="14" t="s">
        <v>97</v>
      </c>
      <c r="C104" s="15" t="s">
        <v>5</v>
      </c>
      <c r="D104" s="15"/>
      <c r="E104" s="2">
        <f>VLOOKUP(C104,Resources!$A$2:$B$5,2,FALSE)</f>
        <v>2</v>
      </c>
      <c r="F104" s="15">
        <v>30</v>
      </c>
      <c r="G104" s="15">
        <v>5</v>
      </c>
      <c r="H104" s="2">
        <f>TRUNC(((J104+K104+L104) / 3) + ((M104+N104+O104)/3) + ((P104+Q104+R104)/3) + ((S104+T104+U104)/3) + ((V104+W104+X104)/3))</f>
        <v>1</v>
      </c>
      <c r="I104" s="9">
        <f>TRUNC(F104*G104*E104) + H104</f>
        <v>301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1</v>
      </c>
      <c r="Q104" s="15">
        <v>1</v>
      </c>
      <c r="R104" s="15">
        <v>1.5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6">
        <v>0</v>
      </c>
    </row>
    <row r="105" spans="1:24" x14ac:dyDescent="0.25">
      <c r="A105" s="19" t="s">
        <v>118</v>
      </c>
      <c r="B105" s="14" t="s">
        <v>119</v>
      </c>
      <c r="C105" s="15" t="s">
        <v>5</v>
      </c>
      <c r="D105" s="15"/>
      <c r="E105" s="2">
        <f>VLOOKUP(C105,Resources!$A$2:$B$5,2,FALSE)</f>
        <v>2</v>
      </c>
      <c r="F105" s="15">
        <v>100</v>
      </c>
      <c r="G105" s="15">
        <v>5</v>
      </c>
      <c r="H105" s="2">
        <f>TRUNC(((J105+K105+L105) / 3) + ((M105+N105+O105)/3) + ((P105+Q105+R105)/3) + ((S105+T105+U105)/3) + ((V105+W105+X105)/3))</f>
        <v>3</v>
      </c>
      <c r="I105" s="9">
        <f>TRUNC(F105*G105*E105) + H105</f>
        <v>1003</v>
      </c>
      <c r="J105" s="15">
        <v>2.5</v>
      </c>
      <c r="K105" s="15">
        <v>3</v>
      </c>
      <c r="L105" s="15">
        <v>4.5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6">
        <v>0</v>
      </c>
    </row>
    <row r="106" spans="1:24" ht="15.75" thickBot="1" x14ac:dyDescent="0.3">
      <c r="A106" s="20" t="s">
        <v>120</v>
      </c>
      <c r="B106" s="4" t="s">
        <v>121</v>
      </c>
      <c r="C106" s="5" t="s">
        <v>4</v>
      </c>
      <c r="D106" s="5"/>
      <c r="E106" s="2">
        <f>VLOOKUP(C106,Resources!$A$2:$B$5,2,FALSE)</f>
        <v>0.5</v>
      </c>
      <c r="F106" s="5">
        <v>20</v>
      </c>
      <c r="G106" s="5">
        <v>100</v>
      </c>
      <c r="H106" s="5">
        <f>TRUNC(((J106+K106+L106) / 3) + ((M106+N106+O106)/3) + ((P106+Q106+R106)/3) + ((S106+T106+U106)/3) + ((V106+W106+X106)/3))</f>
        <v>0</v>
      </c>
      <c r="I106" s="18">
        <f>TRUNC(F106*G106*E106) + H106</f>
        <v>1000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6">
        <v>0</v>
      </c>
    </row>
  </sheetData>
  <autoFilter ref="A1:X106" xr:uid="{5FC31915-B0A9-4750-84FD-4EC90382D071}">
    <filterColumn colId="9" showButton="0"/>
    <filterColumn colId="10" showButton="0"/>
    <filterColumn colId="12" showButton="0"/>
    <filterColumn colId="13" showButton="0"/>
    <filterColumn colId="15" showButton="0"/>
    <filterColumn colId="16" showButton="0"/>
    <filterColumn colId="18" showButton="0"/>
    <filterColumn colId="19" showButton="0"/>
    <filterColumn colId="21" showButton="0"/>
    <filterColumn colId="22" showButton="0"/>
    <sortState xmlns:xlrd2="http://schemas.microsoft.com/office/spreadsheetml/2017/richdata2" ref="A4:X106">
      <sortCondition ref="A1:A106"/>
    </sortState>
  </autoFilter>
  <mergeCells count="13">
    <mergeCell ref="A1:A2"/>
    <mergeCell ref="V1:X1"/>
    <mergeCell ref="G1:G2"/>
    <mergeCell ref="I1:I2"/>
    <mergeCell ref="E1:E2"/>
    <mergeCell ref="H1:H2"/>
    <mergeCell ref="B1:B2"/>
    <mergeCell ref="C1:C2"/>
    <mergeCell ref="F1:F2"/>
    <mergeCell ref="J1:L1"/>
    <mergeCell ref="S1:U1"/>
    <mergeCell ref="M1:O1"/>
    <mergeCell ref="P1:R1"/>
  </mergeCells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A986-5CA5-4CE6-B10F-A79BA218CF5D}">
          <x14:formula1>
            <xm:f>Resources!$A:$A</xm:f>
          </x14:formula1>
          <xm:sqref>C3:C106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48F9-6009-4DE6-A8D9-B81379B296AC}">
  <sheetPr codeName="Feuil4"/>
  <dimension ref="A1"/>
  <sheetViews>
    <sheetView workbookViewId="0">
      <selection activeCell="H20" sqref="H20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MobJSON.GenerateMobJSON">
                <anchor moveWithCells="1" sizeWithCells="1">
                  <from>
                    <xdr:col>4</xdr:col>
                    <xdr:colOff>304800</xdr:colOff>
                    <xdr:row>4</xdr:row>
                    <xdr:rowOff>76200</xdr:rowOff>
                  </from>
                  <to>
                    <xdr:col>8</xdr:col>
                    <xdr:colOff>295275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0B42-6454-461B-B04F-41A567658EC9}">
  <sheetPr codeName="Feuil2"/>
  <dimension ref="A1"/>
  <sheetViews>
    <sheetView topLeftCell="A10" zoomScale="85" zoomScaleNormal="85" workbookViewId="0">
      <selection activeCell="I1" sqref="I1:I1048576"/>
    </sheetView>
  </sheetViews>
  <sheetFormatPr baseColWidth="10" defaultRowHeight="15" x14ac:dyDescent="0.25"/>
  <cols>
    <col min="1" max="16384" width="11.42578125" style="7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0ED7-0505-4BA7-861D-824C9119D40E}">
  <sheetPr codeName="Feuil3"/>
  <dimension ref="A1:E5"/>
  <sheetViews>
    <sheetView workbookViewId="0">
      <selection activeCell="D6" sqref="D6"/>
    </sheetView>
  </sheetViews>
  <sheetFormatPr baseColWidth="10" defaultRowHeight="15" x14ac:dyDescent="0.25"/>
  <cols>
    <col min="1" max="1" width="9.28515625" bestFit="1" customWidth="1"/>
    <col min="2" max="2" width="9.42578125" bestFit="1" customWidth="1"/>
    <col min="4" max="4" width="12.28515625" style="22" bestFit="1" customWidth="1"/>
    <col min="5" max="5" width="13.42578125" style="22" bestFit="1" customWidth="1"/>
  </cols>
  <sheetData>
    <row r="1" spans="1:5" x14ac:dyDescent="0.25">
      <c r="A1" s="23" t="s">
        <v>1</v>
      </c>
      <c r="B1" s="23" t="s">
        <v>93</v>
      </c>
      <c r="C1" s="24"/>
      <c r="D1" s="23" t="s">
        <v>123</v>
      </c>
      <c r="E1" s="23" t="s">
        <v>124</v>
      </c>
    </row>
    <row r="2" spans="1:5" x14ac:dyDescent="0.25">
      <c r="A2" t="s">
        <v>4</v>
      </c>
      <c r="B2">
        <v>0.5</v>
      </c>
      <c r="D2" s="22" t="s">
        <v>117</v>
      </c>
      <c r="E2" s="22" t="s">
        <v>117</v>
      </c>
    </row>
    <row r="3" spans="1:5" x14ac:dyDescent="0.25">
      <c r="A3" t="s">
        <v>5</v>
      </c>
      <c r="B3">
        <v>2</v>
      </c>
      <c r="D3" s="22" t="s">
        <v>122</v>
      </c>
      <c r="E3" s="22">
        <v>1.21</v>
      </c>
    </row>
    <row r="4" spans="1:5" x14ac:dyDescent="0.25">
      <c r="A4" t="s">
        <v>6</v>
      </c>
      <c r="B4">
        <v>1</v>
      </c>
      <c r="D4" s="22" t="s">
        <v>118</v>
      </c>
      <c r="E4" s="22" t="s">
        <v>118</v>
      </c>
    </row>
    <row r="5" spans="1:5" x14ac:dyDescent="0.25">
      <c r="A5" t="s">
        <v>7</v>
      </c>
      <c r="B5">
        <v>2</v>
      </c>
      <c r="D5" s="22" t="s">
        <v>120</v>
      </c>
      <c r="E5" s="22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Datas</vt:lpstr>
      <vt:lpstr>Feuil1</vt:lpstr>
      <vt:lpstr>Graph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2024-05-18T20:42:55Z</dcterms:created>
  <dcterms:modified xsi:type="dcterms:W3CDTF">2025-05-15T21:38:39Z</dcterms:modified>
</cp:coreProperties>
</file>